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4b85a4dd89a2b5/Documents/ratio analysis/"/>
    </mc:Choice>
  </mc:AlternateContent>
  <xr:revisionPtr revIDLastSave="2996" documentId="114_{697FDD00-CAF3-4796-BCF2-12BA3BDDD244}" xr6:coauthVersionLast="47" xr6:coauthVersionMax="47" xr10:uidLastSave="{E6BA2E3B-D495-4829-B94F-3BCFAED3ED86}"/>
  <bookViews>
    <workbookView xWindow="-120" yWindow="-120" windowWidth="20730" windowHeight="11040" tabRatio="950" firstSheet="3" activeTab="6" xr2:uid="{40080B9E-9E5D-4D4F-BF78-D3F262E6937F}"/>
  </bookViews>
  <sheets>
    <sheet name="BS" sheetId="2" r:id="rId1"/>
    <sheet name="P&amp;L" sheetId="3" r:id="rId2"/>
    <sheet name="Activity ratios" sheetId="4" r:id="rId3"/>
    <sheet name="Liquidity ratios" sheetId="5" r:id="rId4"/>
    <sheet name="Solvency ratios" sheetId="7" r:id="rId5"/>
    <sheet name="Profitability ratios" sheetId="8" r:id="rId6"/>
    <sheet name="Valuation ratios" sheetId="9" r:id="rId7"/>
    <sheet name="Summary of performance" sheetId="10" r:id="rId8"/>
    <sheet name="Forecast" sheetId="15" r:id="rId9"/>
    <sheet name="DuPont Analysis" sheetId="11" r:id="rId10"/>
    <sheet name="Altman's credit score " sheetId="13" r:id="rId11"/>
    <sheet name="Segment reporting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5" l="1"/>
  <c r="D5" i="13" l="1"/>
  <c r="I30" i="8" l="1"/>
  <c r="E30" i="8"/>
  <c r="I26" i="8"/>
  <c r="E26" i="8"/>
  <c r="I22" i="8"/>
  <c r="E22" i="8"/>
  <c r="I26" i="7" l="1"/>
  <c r="K25" i="7" s="1"/>
  <c r="I25" i="7"/>
  <c r="G25" i="7"/>
  <c r="E26" i="7"/>
  <c r="E25" i="7"/>
  <c r="I6" i="7" l="1"/>
  <c r="E6" i="7"/>
  <c r="I5" i="7"/>
  <c r="K5" i="7" s="1"/>
  <c r="E5" i="7"/>
  <c r="G5" i="7" s="1"/>
  <c r="I6" i="5" l="1"/>
  <c r="I5" i="5"/>
  <c r="E6" i="5"/>
  <c r="G5" i="5" s="1"/>
  <c r="E5" i="5"/>
  <c r="K5" i="5" l="1"/>
  <c r="I6" i="4"/>
  <c r="E6" i="4"/>
  <c r="I9" i="14" l="1"/>
  <c r="I8" i="14"/>
  <c r="I7" i="14"/>
  <c r="I6" i="14"/>
  <c r="I5" i="14"/>
  <c r="G26" i="10" l="1"/>
  <c r="D46" i="2" l="1"/>
  <c r="F26" i="10" l="1"/>
  <c r="G8" i="10" l="1"/>
  <c r="F6" i="10"/>
  <c r="F8" i="10" s="1"/>
  <c r="E21" i="4" l="1"/>
  <c r="D20" i="15" l="1"/>
  <c r="D33" i="15" s="1"/>
  <c r="D18" i="15"/>
  <c r="D31" i="15" s="1"/>
  <c r="D9" i="15"/>
  <c r="D22" i="15" s="1"/>
  <c r="D35" i="15" s="1"/>
  <c r="F7" i="15"/>
  <c r="E7" i="15"/>
  <c r="E8" i="15" s="1"/>
  <c r="E21" i="15" s="1"/>
  <c r="E34" i="15" s="1"/>
  <c r="F8" i="15" l="1"/>
  <c r="G8" i="15" s="1"/>
  <c r="H8" i="15" s="1"/>
  <c r="I8" i="15" s="1"/>
  <c r="J8" i="15" s="1"/>
  <c r="K8" i="15" s="1"/>
  <c r="E20" i="15"/>
  <c r="E33" i="15" s="1"/>
  <c r="F20" i="15"/>
  <c r="F33" i="15" s="1"/>
  <c r="D11" i="15"/>
  <c r="D24" i="15" s="1"/>
  <c r="D37" i="15" s="1"/>
  <c r="H17" i="14"/>
  <c r="E17" i="14"/>
  <c r="H16" i="14"/>
  <c r="E16" i="14"/>
  <c r="H15" i="14"/>
  <c r="E15" i="14"/>
  <c r="H9" i="14"/>
  <c r="H8" i="14"/>
  <c r="H7" i="14"/>
  <c r="H6" i="14"/>
  <c r="H5" i="14"/>
  <c r="E9" i="14"/>
  <c r="E8" i="14"/>
  <c r="E7" i="14"/>
  <c r="E6" i="14"/>
  <c r="E5" i="14"/>
  <c r="G7" i="15" l="1"/>
  <c r="F21" i="15"/>
  <c r="G21" i="15" s="1"/>
  <c r="F34" i="15"/>
  <c r="G34" i="15" s="1"/>
  <c r="H34" i="15" s="1"/>
  <c r="I34" i="15" s="1"/>
  <c r="J34" i="15" s="1"/>
  <c r="K34" i="15" s="1"/>
  <c r="H25" i="15"/>
  <c r="I25" i="15" s="1"/>
  <c r="J25" i="15" s="1"/>
  <c r="K25" i="15" s="1"/>
  <c r="H7" i="15" l="1"/>
  <c r="G33" i="15"/>
  <c r="G20" i="15"/>
  <c r="H21" i="15"/>
  <c r="I21" i="15" s="1"/>
  <c r="J21" i="15" s="1"/>
  <c r="K21" i="15" s="1"/>
  <c r="E52" i="3"/>
  <c r="I25" i="9" s="1"/>
  <c r="D52" i="3"/>
  <c r="E25" i="9" s="1"/>
  <c r="I7" i="15" l="1"/>
  <c r="H20" i="15"/>
  <c r="I20" i="15" s="1"/>
  <c r="J20" i="15" s="1"/>
  <c r="H33" i="15"/>
  <c r="I17" i="9"/>
  <c r="E17" i="9"/>
  <c r="I18" i="9"/>
  <c r="E18" i="9"/>
  <c r="I13" i="9"/>
  <c r="E54" i="3"/>
  <c r="D54" i="3"/>
  <c r="E13" i="9" s="1"/>
  <c r="I9" i="9"/>
  <c r="E9" i="9"/>
  <c r="D41" i="3"/>
  <c r="E41" i="3"/>
  <c r="D48" i="3"/>
  <c r="E48" i="3"/>
  <c r="I6" i="9"/>
  <c r="E6" i="9"/>
  <c r="J7" i="15" l="1"/>
  <c r="I33" i="15"/>
  <c r="K20" i="15"/>
  <c r="K17" i="9"/>
  <c r="G17" i="9"/>
  <c r="K7" i="15" l="1"/>
  <c r="J33" i="15"/>
  <c r="I22" i="7"/>
  <c r="E22" i="7"/>
  <c r="K33" i="15" l="1"/>
  <c r="I17" i="5"/>
  <c r="E17" i="5"/>
  <c r="I13" i="5"/>
  <c r="E13" i="5"/>
  <c r="I9" i="5"/>
  <c r="E9" i="5"/>
  <c r="I21" i="4" l="1"/>
  <c r="I18" i="7" l="1"/>
  <c r="E18" i="7"/>
  <c r="I13" i="7"/>
  <c r="I9" i="7"/>
  <c r="I30" i="4"/>
  <c r="E30" i="4"/>
  <c r="I22" i="4"/>
  <c r="E22" i="4"/>
  <c r="I14" i="4"/>
  <c r="E14" i="4"/>
  <c r="I13" i="4"/>
  <c r="F45" i="2"/>
  <c r="F39" i="2"/>
  <c r="F30" i="2"/>
  <c r="F32" i="2" s="1"/>
  <c r="F22" i="2"/>
  <c r="F15" i="2"/>
  <c r="I18" i="5"/>
  <c r="F23" i="2" l="1"/>
  <c r="F46" i="2"/>
  <c r="F47" i="2" s="1"/>
  <c r="K13" i="4"/>
  <c r="I18" i="4" s="1"/>
  <c r="K17" i="4" s="1"/>
  <c r="I43" i="4" s="1"/>
  <c r="K21" i="4"/>
  <c r="I26" i="4" s="1"/>
  <c r="K25" i="4" s="1"/>
  <c r="I45" i="4" s="1"/>
  <c r="K17" i="5"/>
  <c r="D6" i="10" l="1"/>
  <c r="D7" i="10"/>
  <c r="F49" i="2"/>
  <c r="E13" i="7"/>
  <c r="E9" i="7"/>
  <c r="G17" i="5" l="1"/>
  <c r="E13" i="4"/>
  <c r="G13" i="4" l="1"/>
  <c r="E18" i="4" s="1"/>
  <c r="G17" i="4" s="1"/>
  <c r="E43" i="4" s="1"/>
  <c r="G21" i="4"/>
  <c r="E26" i="4" s="1"/>
  <c r="E45" i="2"/>
  <c r="D45" i="2"/>
  <c r="E39" i="2"/>
  <c r="D39" i="2"/>
  <c r="E30" i="2"/>
  <c r="E32" i="2" s="1"/>
  <c r="D30" i="2"/>
  <c r="D32" i="2" s="1"/>
  <c r="E22" i="2"/>
  <c r="D22" i="2"/>
  <c r="E15" i="2"/>
  <c r="D15" i="2"/>
  <c r="E37" i="3"/>
  <c r="E43" i="3" s="1"/>
  <c r="D37" i="3"/>
  <c r="D43" i="3" s="1"/>
  <c r="E13" i="3"/>
  <c r="D13" i="3"/>
  <c r="E48" i="4" l="1"/>
  <c r="E5" i="4"/>
  <c r="G5" i="4" s="1"/>
  <c r="F5" i="15"/>
  <c r="C10" i="14"/>
  <c r="C18" i="14" s="1"/>
  <c r="I5" i="4"/>
  <c r="K5" i="4" s="1"/>
  <c r="I10" i="4" s="1"/>
  <c r="K9" i="4" s="1"/>
  <c r="I41" i="4" s="1"/>
  <c r="K41" i="4" s="1"/>
  <c r="E5" i="15"/>
  <c r="F10" i="14"/>
  <c r="F18" i="14" s="1"/>
  <c r="E6" i="10"/>
  <c r="E34" i="4"/>
  <c r="G25" i="4"/>
  <c r="E45" i="4" s="1"/>
  <c r="E10" i="7"/>
  <c r="E49" i="4"/>
  <c r="G48" i="4" s="1"/>
  <c r="G8" i="11" s="1"/>
  <c r="E15" i="10"/>
  <c r="E17" i="3"/>
  <c r="I37" i="4"/>
  <c r="I6" i="8"/>
  <c r="I48" i="4"/>
  <c r="I14" i="8"/>
  <c r="I18" i="8"/>
  <c r="I29" i="4"/>
  <c r="K29" i="4" s="1"/>
  <c r="I10" i="8"/>
  <c r="I33" i="4"/>
  <c r="I34" i="8"/>
  <c r="D15" i="10"/>
  <c r="I10" i="7"/>
  <c r="K9" i="7" s="1"/>
  <c r="D16" i="10" s="1"/>
  <c r="I49" i="4"/>
  <c r="I34" i="4"/>
  <c r="E34" i="8"/>
  <c r="I10" i="5"/>
  <c r="K9" i="5" s="1"/>
  <c r="D12" i="10" s="1"/>
  <c r="I14" i="5"/>
  <c r="K13" i="5" s="1"/>
  <c r="D13" i="10" s="1"/>
  <c r="E46" i="2"/>
  <c r="D17" i="3"/>
  <c r="E10" i="8"/>
  <c r="E18" i="8"/>
  <c r="E14" i="8"/>
  <c r="E6" i="8"/>
  <c r="E33" i="4"/>
  <c r="E10" i="4"/>
  <c r="G9" i="4" s="1"/>
  <c r="E41" i="4" s="1"/>
  <c r="G41" i="4" s="1"/>
  <c r="E29" i="4"/>
  <c r="G29" i="4" s="1"/>
  <c r="E37" i="4"/>
  <c r="E14" i="5"/>
  <c r="G13" i="5" s="1"/>
  <c r="E13" i="10" s="1"/>
  <c r="E10" i="5"/>
  <c r="G9" i="5" s="1"/>
  <c r="E12" i="10" s="1"/>
  <c r="D23" i="2"/>
  <c r="E23" i="2"/>
  <c r="D22" i="3"/>
  <c r="E22" i="3"/>
  <c r="D24" i="3" l="1"/>
  <c r="I5" i="8"/>
  <c r="K5" i="8" s="1"/>
  <c r="D19" i="10" s="1"/>
  <c r="G10" i="14"/>
  <c r="E24" i="3"/>
  <c r="I25" i="8" s="1"/>
  <c r="F9" i="15"/>
  <c r="F18" i="15"/>
  <c r="F31" i="15" s="1"/>
  <c r="F6" i="15"/>
  <c r="F19" i="15" s="1"/>
  <c r="F32" i="15" s="1"/>
  <c r="E9" i="15"/>
  <c r="E18" i="15"/>
  <c r="E31" i="15" s="1"/>
  <c r="E6" i="15"/>
  <c r="E19" i="15" s="1"/>
  <c r="E32" i="15" s="1"/>
  <c r="E5" i="8"/>
  <c r="D10" i="14"/>
  <c r="D8" i="10"/>
  <c r="D5" i="10"/>
  <c r="E47" i="2"/>
  <c r="F9" i="13"/>
  <c r="G9" i="13" s="1"/>
  <c r="E7" i="10"/>
  <c r="D47" i="2"/>
  <c r="D49" i="2" s="1"/>
  <c r="D9" i="13"/>
  <c r="E9" i="13" s="1"/>
  <c r="E5" i="10"/>
  <c r="F6" i="13"/>
  <c r="G6" i="13" s="1"/>
  <c r="F8" i="13"/>
  <c r="G8" i="13" s="1"/>
  <c r="F5" i="13"/>
  <c r="G5" i="13" s="1"/>
  <c r="D7" i="13"/>
  <c r="E7" i="13" s="1"/>
  <c r="D6" i="13"/>
  <c r="E6" i="13" s="1"/>
  <c r="D8" i="13"/>
  <c r="E8" i="13" s="1"/>
  <c r="E5" i="13"/>
  <c r="E49" i="2"/>
  <c r="E17" i="7"/>
  <c r="G17" i="7" s="1"/>
  <c r="K33" i="4"/>
  <c r="E14" i="7"/>
  <c r="G13" i="7" s="1"/>
  <c r="E38" i="4"/>
  <c r="G37" i="4" s="1"/>
  <c r="G17" i="11" s="1"/>
  <c r="K26" i="11" s="1"/>
  <c r="K48" i="4"/>
  <c r="G9" i="11" s="1"/>
  <c r="I14" i="7"/>
  <c r="K13" i="7" s="1"/>
  <c r="I38" i="4"/>
  <c r="K37" i="4" s="1"/>
  <c r="G18" i="11" s="1"/>
  <c r="K27" i="11" s="1"/>
  <c r="I17" i="7"/>
  <c r="K17" i="7" s="1"/>
  <c r="D11" i="10"/>
  <c r="G9" i="7"/>
  <c r="E16" i="10" s="1"/>
  <c r="E11" i="10"/>
  <c r="G33" i="4"/>
  <c r="D28" i="3"/>
  <c r="G26" i="11" s="1"/>
  <c r="E9" i="8"/>
  <c r="G9" i="8" s="1"/>
  <c r="I9" i="8" l="1"/>
  <c r="K9" i="8" s="1"/>
  <c r="I29" i="8"/>
  <c r="K29" i="8" s="1"/>
  <c r="K25" i="8"/>
  <c r="E28" i="3"/>
  <c r="G27" i="11" s="1"/>
  <c r="I21" i="7"/>
  <c r="K21" i="7" s="1"/>
  <c r="F7" i="13"/>
  <c r="G7" i="13" s="1"/>
  <c r="E21" i="7"/>
  <c r="G21" i="7" s="1"/>
  <c r="E25" i="8"/>
  <c r="H10" i="14"/>
  <c r="H18" i="14" s="1"/>
  <c r="G18" i="14"/>
  <c r="F22" i="15"/>
  <c r="F35" i="15" s="1"/>
  <c r="F11" i="15"/>
  <c r="F10" i="15"/>
  <c r="F23" i="15" s="1"/>
  <c r="F36" i="15" s="1"/>
  <c r="D18" i="14"/>
  <c r="E10" i="14"/>
  <c r="E11" i="15"/>
  <c r="E22" i="15"/>
  <c r="E35" i="15" s="1"/>
  <c r="E10" i="15"/>
  <c r="E23" i="15" s="1"/>
  <c r="E36" i="15" s="1"/>
  <c r="I26" i="11"/>
  <c r="E20" i="10"/>
  <c r="I27" i="11"/>
  <c r="D20" i="10"/>
  <c r="I18" i="11"/>
  <c r="D17" i="10"/>
  <c r="E17" i="10"/>
  <c r="I17" i="11"/>
  <c r="D9" i="10"/>
  <c r="E8" i="10"/>
  <c r="E9" i="10"/>
  <c r="G10" i="13"/>
  <c r="E10" i="13"/>
  <c r="E32" i="3"/>
  <c r="I21" i="8" s="1"/>
  <c r="K21" i="8" s="1"/>
  <c r="D32" i="3"/>
  <c r="E21" i="8" s="1"/>
  <c r="G21" i="8" s="1"/>
  <c r="E13" i="8"/>
  <c r="G13" i="8" s="1"/>
  <c r="E29" i="8" l="1"/>
  <c r="G29" i="8" s="1"/>
  <c r="G25" i="8"/>
  <c r="I13" i="8"/>
  <c r="K13" i="8" s="1"/>
  <c r="F24" i="15"/>
  <c r="F12" i="15"/>
  <c r="G12" i="15" s="1"/>
  <c r="H12" i="15" s="1"/>
  <c r="I12" i="15" s="1"/>
  <c r="J12" i="15" s="1"/>
  <c r="K12" i="15" s="1"/>
  <c r="E18" i="14"/>
  <c r="I10" i="14"/>
  <c r="E26" i="11"/>
  <c r="E26" i="9"/>
  <c r="G25" i="9" s="1"/>
  <c r="E22" i="9"/>
  <c r="E21" i="9"/>
  <c r="E14" i="9"/>
  <c r="G13" i="9" s="1"/>
  <c r="E24" i="15"/>
  <c r="E37" i="15" s="1"/>
  <c r="E12" i="15"/>
  <c r="E25" i="15" s="1"/>
  <c r="E38" i="15" s="1"/>
  <c r="E27" i="11"/>
  <c r="I21" i="9"/>
  <c r="I26" i="9"/>
  <c r="K25" i="9" s="1"/>
  <c r="I22" i="9"/>
  <c r="I14" i="9"/>
  <c r="K13" i="9" s="1"/>
  <c r="M26" i="11"/>
  <c r="C26" i="11" s="1"/>
  <c r="M27" i="11"/>
  <c r="E5" i="9"/>
  <c r="G5" i="9" s="1"/>
  <c r="I5" i="9"/>
  <c r="K5" i="9" s="1"/>
  <c r="E33" i="8"/>
  <c r="G33" i="8" s="1"/>
  <c r="E17" i="8"/>
  <c r="G17" i="8" s="1"/>
  <c r="I33" i="8"/>
  <c r="K33" i="8" s="1"/>
  <c r="I17" i="8"/>
  <c r="K17" i="8" s="1"/>
  <c r="G11" i="15" l="1"/>
  <c r="G21" i="9"/>
  <c r="K21" i="9"/>
  <c r="F25" i="15"/>
  <c r="F38" i="15" s="1"/>
  <c r="H38" i="15" s="1"/>
  <c r="I38" i="15" s="1"/>
  <c r="J38" i="15" s="1"/>
  <c r="K38" i="15" s="1"/>
  <c r="F37" i="15"/>
  <c r="G37" i="15" s="1"/>
  <c r="G24" i="15"/>
  <c r="C27" i="11"/>
  <c r="E9" i="11"/>
  <c r="D21" i="10"/>
  <c r="I10" i="9"/>
  <c r="K9" i="9" s="1"/>
  <c r="D25" i="10" s="1"/>
  <c r="D24" i="10"/>
  <c r="E8" i="11"/>
  <c r="E21" i="10"/>
  <c r="K29" i="9"/>
  <c r="D22" i="10"/>
  <c r="E10" i="9"/>
  <c r="G9" i="9" s="1"/>
  <c r="E25" i="10" s="1"/>
  <c r="E24" i="10"/>
  <c r="E22" i="10"/>
  <c r="G29" i="9"/>
  <c r="G5" i="8"/>
  <c r="E19" i="10" s="1"/>
  <c r="H11" i="15" l="1"/>
  <c r="G5" i="15"/>
  <c r="G9" i="15" s="1"/>
  <c r="G10" i="15" s="1"/>
  <c r="D26" i="10"/>
  <c r="G18" i="15"/>
  <c r="G22" i="15" s="1"/>
  <c r="H24" i="15"/>
  <c r="H37" i="15"/>
  <c r="G31" i="15"/>
  <c r="G35" i="15" s="1"/>
  <c r="E26" i="10"/>
  <c r="E17" i="11"/>
  <c r="C17" i="11" s="1"/>
  <c r="C8" i="11"/>
  <c r="C9" i="11"/>
  <c r="E18" i="11"/>
  <c r="C18" i="11" s="1"/>
  <c r="I11" i="15" l="1"/>
  <c r="H5" i="15"/>
  <c r="H9" i="15" s="1"/>
  <c r="H10" i="15" s="1"/>
  <c r="I37" i="15"/>
  <c r="H31" i="15"/>
  <c r="H35" i="15" s="1"/>
  <c r="H18" i="15"/>
  <c r="H22" i="15" s="1"/>
  <c r="I24" i="15"/>
  <c r="J11" i="15" l="1"/>
  <c r="I5" i="15"/>
  <c r="I9" i="15" s="1"/>
  <c r="I10" i="15" s="1"/>
  <c r="J37" i="15"/>
  <c r="I31" i="15"/>
  <c r="I35" i="15" s="1"/>
  <c r="J24" i="15"/>
  <c r="I18" i="15"/>
  <c r="I22" i="15" s="1"/>
  <c r="K11" i="15" l="1"/>
  <c r="K5" i="15" s="1"/>
  <c r="K9" i="15" s="1"/>
  <c r="J5" i="15"/>
  <c r="J9" i="15" s="1"/>
  <c r="J10" i="15" s="1"/>
  <c r="K24" i="15"/>
  <c r="K18" i="15" s="1"/>
  <c r="K22" i="15" s="1"/>
  <c r="J18" i="15"/>
  <c r="J22" i="15" s="1"/>
  <c r="K37" i="15"/>
  <c r="K31" i="15" s="1"/>
  <c r="K35" i="15" s="1"/>
  <c r="J31" i="15"/>
  <c r="J35" i="15" s="1"/>
  <c r="K10" i="15" l="1"/>
</calcChain>
</file>

<file path=xl/sharedStrings.xml><?xml version="1.0" encoding="utf-8"?>
<sst xmlns="http://schemas.openxmlformats.org/spreadsheetml/2006/main" count="566" uniqueCount="289">
  <si>
    <t>Note</t>
  </si>
  <si>
    <t>ASSETS</t>
  </si>
  <si>
    <t>Non-current assets</t>
  </si>
  <si>
    <t>Property, plant and equipment</t>
  </si>
  <si>
    <t>Intangible assets</t>
  </si>
  <si>
    <t>Deferred tax assets</t>
  </si>
  <si>
    <t>Trade and other receivables</t>
  </si>
  <si>
    <t>Loans granted</t>
  </si>
  <si>
    <t xml:space="preserve">Current assets </t>
  </si>
  <si>
    <t xml:space="preserve">Inventories </t>
  </si>
  <si>
    <t>-</t>
  </si>
  <si>
    <t>Cash and cash equivalents</t>
  </si>
  <si>
    <t>Total assets</t>
  </si>
  <si>
    <t>EQUITY AND LIABILITIES</t>
  </si>
  <si>
    <t>Retained earnings</t>
  </si>
  <si>
    <t>Non-controlling interest</t>
  </si>
  <si>
    <t>Total equity</t>
  </si>
  <si>
    <t>Liabilities</t>
  </si>
  <si>
    <t>Non-current liabilities</t>
  </si>
  <si>
    <t>Deferred tax liabilities</t>
  </si>
  <si>
    <t>Retirement benefit obligations</t>
  </si>
  <si>
    <t>Current liabilities</t>
  </si>
  <si>
    <t>Trade and other payables</t>
  </si>
  <si>
    <t>Current income tax liabilities</t>
  </si>
  <si>
    <t>Total liabilities</t>
  </si>
  <si>
    <t>Total equity and liabilities</t>
  </si>
  <si>
    <t>Revenue</t>
  </si>
  <si>
    <t>Sales revenue</t>
  </si>
  <si>
    <t>Other revenue from operating activity</t>
  </si>
  <si>
    <t>Other costs</t>
  </si>
  <si>
    <t>Income tax expense</t>
  </si>
  <si>
    <t>Profit for the year attributable to:</t>
  </si>
  <si>
    <t>Equity holders of the Company</t>
  </si>
  <si>
    <t>Other comprehensive income</t>
  </si>
  <si>
    <t>Items that will not be reclassified to profit or loss</t>
  </si>
  <si>
    <t xml:space="preserve">Gains from revaluation of land and buildings </t>
  </si>
  <si>
    <t>Total other comprehensive income for the year</t>
  </si>
  <si>
    <t>Total comprehensive income for the year</t>
  </si>
  <si>
    <t>Total comprehensive income for the year attributable to:</t>
  </si>
  <si>
    <t>Gross Profit</t>
  </si>
  <si>
    <t>Administrative costs</t>
  </si>
  <si>
    <t>annual sales</t>
  </si>
  <si>
    <t>1. Receivables turnover =</t>
  </si>
  <si>
    <t>average receivables</t>
  </si>
  <si>
    <t>=</t>
  </si>
  <si>
    <t>receivables turnover</t>
  </si>
  <si>
    <t>cost of goods sold</t>
  </si>
  <si>
    <t>average inventory</t>
  </si>
  <si>
    <t>4. Days of inventory on hand =</t>
  </si>
  <si>
    <t>inventory turnover</t>
  </si>
  <si>
    <t>5. Payables turnover =</t>
  </si>
  <si>
    <t>purchases</t>
  </si>
  <si>
    <t>average trade payables</t>
  </si>
  <si>
    <t>revenue</t>
  </si>
  <si>
    <t>average total assets</t>
  </si>
  <si>
    <t>average net fixed assets</t>
  </si>
  <si>
    <t>average working capital</t>
  </si>
  <si>
    <t>1. Current ratio =</t>
  </si>
  <si>
    <t>current assets</t>
  </si>
  <si>
    <t>current liabilities</t>
  </si>
  <si>
    <t xml:space="preserve">2. Quick ratio = </t>
  </si>
  <si>
    <t>cash  + marketable securities + receivables</t>
  </si>
  <si>
    <t xml:space="preserve">3. Cash ratio = </t>
  </si>
  <si>
    <t>cash  + marketable securities</t>
  </si>
  <si>
    <t xml:space="preserve">4. Defensive interval = </t>
  </si>
  <si>
    <t>average daily expenditure</t>
  </si>
  <si>
    <t>+</t>
  </si>
  <si>
    <t>Selling costs</t>
  </si>
  <si>
    <t>1. Debt-to-equity =</t>
  </si>
  <si>
    <t xml:space="preserve">2. Debt-to-capital = </t>
  </si>
  <si>
    <t>total debt</t>
  </si>
  <si>
    <t>total shareholder's equity</t>
  </si>
  <si>
    <t>total debt + total shareholder's equity</t>
  </si>
  <si>
    <t>total assets</t>
  </si>
  <si>
    <t xml:space="preserve">3. Debt-to-assets = </t>
  </si>
  <si>
    <t>average total equity</t>
  </si>
  <si>
    <t>earnings before interest and taxes</t>
  </si>
  <si>
    <t>interest payments</t>
  </si>
  <si>
    <t>earnings before interest and taxes + lease payments</t>
  </si>
  <si>
    <t>interest payments + lease payments</t>
  </si>
  <si>
    <t xml:space="preserve">* lease payments = </t>
  </si>
  <si>
    <t>net income</t>
  </si>
  <si>
    <t>gross profit</t>
  </si>
  <si>
    <t>EBT</t>
  </si>
  <si>
    <t>EBIT</t>
  </si>
  <si>
    <t>average total capital</t>
  </si>
  <si>
    <t>in USD million</t>
  </si>
  <si>
    <t>As at 31st December</t>
  </si>
  <si>
    <t>Current ratio</t>
  </si>
  <si>
    <t>Total asset turnover</t>
  </si>
  <si>
    <t>Net profit margin</t>
  </si>
  <si>
    <t>Debt-to-equity</t>
  </si>
  <si>
    <t>Current year</t>
  </si>
  <si>
    <t>Previous year</t>
  </si>
  <si>
    <t>Industry average</t>
  </si>
  <si>
    <t>average equity</t>
  </si>
  <si>
    <t>Net income</t>
  </si>
  <si>
    <t>RoE</t>
  </si>
  <si>
    <t>x</t>
  </si>
  <si>
    <t>asset turnover</t>
  </si>
  <si>
    <t>net profit margin</t>
  </si>
  <si>
    <t>equity turnover</t>
  </si>
  <si>
    <t xml:space="preserve">plus: days of inventory on hand </t>
  </si>
  <si>
    <t>financial leverage ratio</t>
  </si>
  <si>
    <t>Ratio</t>
  </si>
  <si>
    <t>Statement of Financial Position</t>
  </si>
  <si>
    <t>Statement of Comprehensive Income</t>
  </si>
  <si>
    <t>For the Year Ended 31st December</t>
  </si>
  <si>
    <t>Capital and reserves attributable to owners</t>
  </si>
  <si>
    <t>Total Revenue</t>
  </si>
  <si>
    <t>Total operating expenses</t>
  </si>
  <si>
    <t>Total non-current assets</t>
  </si>
  <si>
    <t>Total current assets</t>
  </si>
  <si>
    <t>Total owners' equity</t>
  </si>
  <si>
    <t>Total non-current liabilities</t>
  </si>
  <si>
    <t>Total current liabilities</t>
  </si>
  <si>
    <t>Meaning</t>
  </si>
  <si>
    <t>3. Inventory turnover =</t>
  </si>
  <si>
    <t xml:space="preserve">2. Days of sales outstanding = </t>
  </si>
  <si>
    <t>days of sales outstanding</t>
  </si>
  <si>
    <t>less: number of days of payables</t>
  </si>
  <si>
    <t>6. Number of days of payables =</t>
  </si>
  <si>
    <t>The average inventory processing period</t>
  </si>
  <si>
    <t>7. Fixed assets turnover =</t>
  </si>
  <si>
    <t>8. Working capital turnover =</t>
  </si>
  <si>
    <t>9. Total assets turnover =</t>
  </si>
  <si>
    <t xml:space="preserve">10. Cash conversion cycle = </t>
  </si>
  <si>
    <t>11. Equity turnover =</t>
  </si>
  <si>
    <t>Y3</t>
  </si>
  <si>
    <t>Y2</t>
  </si>
  <si>
    <t>Y1</t>
  </si>
  <si>
    <t>* Purchases = ending inventory – beginning inventory + cost of goods sold</t>
  </si>
  <si>
    <t>Ability to meet current liabilities 
(with total current assets)</t>
  </si>
  <si>
    <t>Ability to meet current liabilities 
(with total current assets, excluding inventory)</t>
  </si>
  <si>
    <t>Ability to meet current liabilities 
(with cash and marketable securities only)</t>
  </si>
  <si>
    <t>Marketable securities</t>
  </si>
  <si>
    <t>Interest expense</t>
  </si>
  <si>
    <t>Cost of goods sold (COGS)</t>
  </si>
  <si>
    <t>Additional paid-in capital</t>
  </si>
  <si>
    <t>Long-term debt</t>
  </si>
  <si>
    <t>Short-term debt</t>
  </si>
  <si>
    <t>Check!</t>
  </si>
  <si>
    <t>SaleSmart Co</t>
  </si>
  <si>
    <t>Debt as a percentage of total equity</t>
  </si>
  <si>
    <t>Debt as a percentage of total capital</t>
  </si>
  <si>
    <t>Debt as a percentage of total assets</t>
  </si>
  <si>
    <t>The ability to cover interest expenses</t>
  </si>
  <si>
    <t>The ability to cover interest and lease expenses</t>
  </si>
  <si>
    <t>5. Return on assets (ROA) =</t>
  </si>
  <si>
    <t>6. Operating return on assets (ROA) =</t>
  </si>
  <si>
    <t>Net profitability as a percentage of total revenue</t>
  </si>
  <si>
    <t>Gross profitability as a percentage of total revenue</t>
  </si>
  <si>
    <t>operating income (EBIT)</t>
  </si>
  <si>
    <t>Operating profitability (before interest and tax) as a percentage of total revenue</t>
  </si>
  <si>
    <t>Operating profitability (before tax) as a percentage of total revenue</t>
  </si>
  <si>
    <t>Net profitability (excluding interest and taxes) as a percentage of total invested funds</t>
  </si>
  <si>
    <t>Net profitability (including interest and taxes) as a percentage of total invested funds</t>
  </si>
  <si>
    <t>7. Return on total capital =</t>
  </si>
  <si>
    <t>Operating profitability as a percentage of total capital</t>
  </si>
  <si>
    <t>Net profitability as a percentage of total equity</t>
  </si>
  <si>
    <t>tax burden</t>
  </si>
  <si>
    <t>interest burden</t>
  </si>
  <si>
    <t>operating profit margin</t>
  </si>
  <si>
    <t>Current year (Y3):</t>
  </si>
  <si>
    <t>Previous year (Y2):</t>
  </si>
  <si>
    <t>Operating profit (EBIT)</t>
  </si>
  <si>
    <t>Profit before tax (EBT)</t>
  </si>
  <si>
    <t>8. Return on equity (RoE)</t>
  </si>
  <si>
    <t>Return on equity (RoE)</t>
  </si>
  <si>
    <t>The average number of days a company takes to collect its receivables from clients</t>
  </si>
  <si>
    <t xml:space="preserve">The average number of days a company takes to pay its suppliers </t>
  </si>
  <si>
    <t>The number of days a company takes to convert its investments in inventory and other resources into cash flows from sales</t>
  </si>
  <si>
    <t>The number of days a company can cover its average daily expenses with the use of current liquid assets only</t>
  </si>
  <si>
    <t>An indicator of a company's debt financing usage</t>
  </si>
  <si>
    <t xml:space="preserve">1. Gross profit margin = </t>
  </si>
  <si>
    <t>2. Operating profit margin =</t>
  </si>
  <si>
    <t>3. Pretax margin =</t>
  </si>
  <si>
    <t>4. Net profit margin =</t>
  </si>
  <si>
    <t>operating profit (EBIT)</t>
  </si>
  <si>
    <t>Formula</t>
  </si>
  <si>
    <t xml:space="preserve">1. Earnings per share (EPS) = </t>
  </si>
  <si>
    <t>Income earned per 1 common share outstanding</t>
  </si>
  <si>
    <t>Outstanding number of common shares</t>
  </si>
  <si>
    <t>Net Income - preferred dividends</t>
  </si>
  <si>
    <t>Common share capital</t>
  </si>
  <si>
    <t>Common shares outstanding</t>
  </si>
  <si>
    <t xml:space="preserve">2. Price earnings (P/E) ratio = </t>
  </si>
  <si>
    <t>Share price</t>
  </si>
  <si>
    <t>Earnings per share (EPS)</t>
  </si>
  <si>
    <t>Share price (in $)</t>
  </si>
  <si>
    <t>The price that investors are willing to pay per $1 of earnings</t>
  </si>
  <si>
    <t>Market capitalization</t>
  </si>
  <si>
    <t>Total price that investors are willing to pay for a company's Net income</t>
  </si>
  <si>
    <t xml:space="preserve">3. P/E ratio (company wide) = </t>
  </si>
  <si>
    <t xml:space="preserve">4. Dividend yield = </t>
  </si>
  <si>
    <t>Current share price</t>
  </si>
  <si>
    <t>The "portion "of a share price that is distributed as dividends</t>
  </si>
  <si>
    <t>Common dividend per share ($)</t>
  </si>
  <si>
    <t xml:space="preserve">5. Retention rate (RR) = </t>
  </si>
  <si>
    <t>Dividend declared (per share)</t>
  </si>
  <si>
    <t>Net income - dividends declared</t>
  </si>
  <si>
    <t xml:space="preserve">Net income  </t>
  </si>
  <si>
    <t>Total dividends declared</t>
  </si>
  <si>
    <t>The "portion" of Net income that is reinvested in the company</t>
  </si>
  <si>
    <t xml:space="preserve">6. Dividend payout = </t>
  </si>
  <si>
    <t>Dividends declared</t>
  </si>
  <si>
    <t>The "portion" of Net income that is distributed as dividends</t>
  </si>
  <si>
    <t>7. Sustainable growth rate (g) = RR x ROE</t>
  </si>
  <si>
    <t>Equity growth rate</t>
  </si>
  <si>
    <t>1.0 × (Sales/Total assets)</t>
  </si>
  <si>
    <t xml:space="preserve">1.2 × (Current assets – Current liabilities)/Total assets + </t>
  </si>
  <si>
    <t xml:space="preserve">1.4 × (Retained earnings/Total assets) + </t>
  </si>
  <si>
    <t xml:space="preserve">3.3 × (EBIT/Total assets) + </t>
  </si>
  <si>
    <t xml:space="preserve">0.6 × (Market value of stock/Book value of liabilities) + </t>
  </si>
  <si>
    <t>Weight</t>
  </si>
  <si>
    <t>Result</t>
  </si>
  <si>
    <t>Liquidity</t>
  </si>
  <si>
    <t>Solvency</t>
  </si>
  <si>
    <t>Profitability</t>
  </si>
  <si>
    <t>Valuation</t>
  </si>
  <si>
    <t>Category</t>
  </si>
  <si>
    <t>Activity</t>
  </si>
  <si>
    <t xml:space="preserve">Current year </t>
  </si>
  <si>
    <t>Total Z-score</t>
  </si>
  <si>
    <t>Home care</t>
  </si>
  <si>
    <t>Gross profit margin</t>
  </si>
  <si>
    <t>Gross profit</t>
  </si>
  <si>
    <t>Total</t>
  </si>
  <si>
    <t>Americas</t>
  </si>
  <si>
    <t>EMEA</t>
  </si>
  <si>
    <t>Previous previous year</t>
  </si>
  <si>
    <t>Growth %</t>
  </si>
  <si>
    <t>Y4</t>
  </si>
  <si>
    <t>Y5</t>
  </si>
  <si>
    <t>Y6</t>
  </si>
  <si>
    <t>COGS</t>
  </si>
  <si>
    <t xml:space="preserve"> % change</t>
  </si>
  <si>
    <t>Y7</t>
  </si>
  <si>
    <t>Y8</t>
  </si>
  <si>
    <t>Worst-case scenario</t>
  </si>
  <si>
    <t>Best-case scenario</t>
  </si>
  <si>
    <t>The efficiency of a company in collecting its trade receivables</t>
  </si>
  <si>
    <t>The efficiency of a company in terms of inventory management</t>
  </si>
  <si>
    <t>The efficiency of a company in allowing trade credit to suppliers</t>
  </si>
  <si>
    <t>The efficiency of a firm in utilizing its fixed assets</t>
  </si>
  <si>
    <t>The efficiency of a firm in managing its 
working capital (current assets - current liabilities)</t>
  </si>
  <si>
    <t>The efficiency of a firm in using its total assets to create revenue</t>
  </si>
  <si>
    <t>The efficiency of a firm in utilizing equity to create revenue</t>
  </si>
  <si>
    <t>Personal care</t>
  </si>
  <si>
    <t>Pharmaceuticals</t>
  </si>
  <si>
    <t>Baby &amp; Kids</t>
  </si>
  <si>
    <t>Leisure and entertainment</t>
  </si>
  <si>
    <t>Asian Pacific</t>
  </si>
  <si>
    <t>Days of sales outstanding</t>
  </si>
  <si>
    <t>Days of inventory on hand</t>
  </si>
  <si>
    <t>Number of days of payables</t>
  </si>
  <si>
    <t>Cash conversion cycle</t>
  </si>
  <si>
    <t>Activity Ratios</t>
  </si>
  <si>
    <t>Quick ratio</t>
  </si>
  <si>
    <t>Liquidity Ratios</t>
  </si>
  <si>
    <t>Profitability Ratios</t>
  </si>
  <si>
    <t>Multiple</t>
  </si>
  <si>
    <t>Valuation Ratios</t>
  </si>
  <si>
    <t>EPS</t>
  </si>
  <si>
    <t>P/E ratio</t>
  </si>
  <si>
    <t>Procter &amp; Gamble (P&amp;G)</t>
  </si>
  <si>
    <t>Debt-to-capital</t>
  </si>
  <si>
    <t>Cash ratio</t>
  </si>
  <si>
    <t>Financial leverage</t>
  </si>
  <si>
    <t>Solvency Ratios</t>
  </si>
  <si>
    <t>Operating profit margin</t>
  </si>
  <si>
    <t>Current year (Y3)</t>
  </si>
  <si>
    <t>Previous year (Y2)</t>
  </si>
  <si>
    <t xml:space="preserve"> </t>
  </si>
  <si>
    <t>GPM Change</t>
  </si>
  <si>
    <t>Base-case scenario</t>
  </si>
  <si>
    <t>2-Way DuPont Analysis</t>
  </si>
  <si>
    <t>3-Way DuPont Analysis</t>
  </si>
  <si>
    <t>5-Way DuPont Analysis</t>
  </si>
  <si>
    <t xml:space="preserve">4. Interest coverage = </t>
  </si>
  <si>
    <t xml:space="preserve">5. Fixed charge coverage = </t>
  </si>
  <si>
    <t xml:space="preserve">6. Financial leverage = </t>
  </si>
  <si>
    <t>payables turnover</t>
  </si>
  <si>
    <t>revenue - COGS</t>
  </si>
  <si>
    <t xml:space="preserve">Gross profit margin (GPM) = </t>
  </si>
  <si>
    <t xml:space="preserve">Gross profit margin 
(GPM) </t>
  </si>
  <si>
    <t xml:space="preserve">1 - </t>
  </si>
  <si>
    <t>1 - GPМ%</t>
  </si>
  <si>
    <t xml:space="preserve">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</si>
</sst>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%"/>
    <numFmt numFmtId="167" formatCode="_(* #,##0.0_);_(* \(#,##0.0\);_(* &quot;-&quot;??_);_(@_)"/>
    <numFmt numFmtId="168" formatCode="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i/>
      <sz val="9"/>
      <color rgb="FF002060"/>
      <name val="Arial"/>
      <family val="2"/>
    </font>
    <font>
      <sz val="9"/>
      <color rgb="FFFF0000"/>
      <name val="Arial"/>
      <family val="2"/>
    </font>
    <font>
      <sz val="9"/>
      <color rgb="FF002060"/>
      <name val="Arial"/>
      <family val="2"/>
    </font>
    <font>
      <u/>
      <sz val="11"/>
      <color theme="10"/>
      <name val="Calibri"/>
      <family val="2"/>
      <charset val="204"/>
      <scheme val="minor"/>
    </font>
    <font>
      <b/>
      <sz val="9"/>
      <color theme="0"/>
      <name val="Arial"/>
      <family val="2"/>
    </font>
    <font>
      <b/>
      <i/>
      <sz val="9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rgb="FFFFFFFF"/>
      </patternFill>
    </fill>
    <fill>
      <patternFill patternType="solid">
        <fgColor rgb="FF00206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81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41" fontId="4" fillId="0" borderId="0" xfId="0" applyNumberFormat="1" applyFont="1" applyAlignment="1">
      <alignment horizontal="right" vertical="center" wrapText="1"/>
    </xf>
    <xf numFmtId="41" fontId="4" fillId="0" borderId="0" xfId="0" applyNumberFormat="1" applyFont="1"/>
    <xf numFmtId="41" fontId="3" fillId="0" borderId="0" xfId="0" applyNumberFormat="1" applyFont="1" applyAlignment="1">
      <alignment horizontal="right" vertical="center" wrapText="1"/>
    </xf>
    <xf numFmtId="43" fontId="4" fillId="0" borderId="0" xfId="0" applyNumberFormat="1" applyFont="1"/>
    <xf numFmtId="9" fontId="4" fillId="0" borderId="0" xfId="1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2" borderId="5" xfId="0" applyFont="1" applyFill="1" applyBorder="1"/>
    <xf numFmtId="0" fontId="6" fillId="2" borderId="5" xfId="0" applyFont="1" applyFill="1" applyBorder="1" applyAlignment="1">
      <alignment horizontal="center"/>
    </xf>
    <xf numFmtId="0" fontId="7" fillId="2" borderId="0" xfId="0" applyFont="1" applyFill="1"/>
    <xf numFmtId="0" fontId="6" fillId="0" borderId="0" xfId="0" applyFont="1"/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41" fontId="3" fillId="0" borderId="6" xfId="0" applyNumberFormat="1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41" fontId="3" fillId="0" borderId="7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41" fontId="4" fillId="0" borderId="1" xfId="0" applyNumberFormat="1" applyFont="1" applyBorder="1" applyAlignment="1">
      <alignment horizontal="right" vertical="center" wrapText="1"/>
    </xf>
    <xf numFmtId="41" fontId="3" fillId="0" borderId="6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41" fontId="4" fillId="0" borderId="2" xfId="0" applyNumberFormat="1" applyFont="1" applyBorder="1"/>
    <xf numFmtId="0" fontId="4" fillId="0" borderId="7" xfId="0" applyFont="1" applyBorder="1" applyAlignment="1">
      <alignment horizontal="center"/>
    </xf>
    <xf numFmtId="43" fontId="4" fillId="0" borderId="14" xfId="0" applyNumberFormat="1" applyFont="1" applyBorder="1"/>
    <xf numFmtId="41" fontId="4" fillId="0" borderId="12" xfId="0" applyNumberFormat="1" applyFont="1" applyBorder="1"/>
    <xf numFmtId="0" fontId="4" fillId="0" borderId="13" xfId="0" applyFont="1" applyBorder="1"/>
    <xf numFmtId="0" fontId="3" fillId="0" borderId="11" xfId="0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2" xfId="0" applyFont="1" applyBorder="1"/>
    <xf numFmtId="43" fontId="4" fillId="0" borderId="11" xfId="0" applyNumberFormat="1" applyFont="1" applyBorder="1"/>
    <xf numFmtId="43" fontId="3" fillId="0" borderId="14" xfId="0" applyNumberFormat="1" applyFont="1" applyBorder="1"/>
    <xf numFmtId="0" fontId="4" fillId="0" borderId="15" xfId="0" applyFont="1" applyBorder="1" applyAlignment="1">
      <alignment horizontal="center"/>
    </xf>
    <xf numFmtId="43" fontId="4" fillId="0" borderId="15" xfId="0" applyNumberFormat="1" applyFont="1" applyBorder="1"/>
    <xf numFmtId="43" fontId="4" fillId="0" borderId="12" xfId="0" applyNumberFormat="1" applyFont="1" applyBorder="1"/>
    <xf numFmtId="0" fontId="4" fillId="0" borderId="1" xfId="0" applyFont="1" applyBorder="1"/>
    <xf numFmtId="41" fontId="4" fillId="0" borderId="2" xfId="0" applyNumberFormat="1" applyFont="1" applyBorder="1" applyAlignment="1">
      <alignment horizontal="center"/>
    </xf>
    <xf numFmtId="43" fontId="4" fillId="0" borderId="12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41" fontId="4" fillId="0" borderId="12" xfId="0" applyNumberFormat="1" applyFont="1" applyBorder="1" applyAlignment="1">
      <alignment horizontal="center"/>
    </xf>
    <xf numFmtId="9" fontId="4" fillId="0" borderId="14" xfId="1" applyFont="1" applyBorder="1"/>
    <xf numFmtId="9" fontId="4" fillId="0" borderId="13" xfId="1" applyFont="1" applyBorder="1"/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3" fontId="4" fillId="0" borderId="14" xfId="2" applyFont="1" applyBorder="1"/>
    <xf numFmtId="10" fontId="4" fillId="0" borderId="14" xfId="0" applyNumberFormat="1" applyFont="1" applyBorder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7" xfId="0" applyFont="1" applyBorder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0" fontId="3" fillId="3" borderId="11" xfId="1" applyNumberFormat="1" applyFont="1" applyFill="1" applyBorder="1" applyAlignment="1">
      <alignment horizontal="center"/>
    </xf>
    <xf numFmtId="10" fontId="3" fillId="3" borderId="1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4" fillId="0" borderId="0" xfId="0" applyNumberFormat="1" applyFont="1"/>
    <xf numFmtId="43" fontId="4" fillId="0" borderId="14" xfId="0" applyNumberFormat="1" applyFont="1" applyBorder="1" applyAlignment="1">
      <alignment horizontal="center"/>
    </xf>
    <xf numFmtId="43" fontId="4" fillId="0" borderId="13" xfId="0" applyNumberFormat="1" applyFont="1" applyBorder="1" applyAlignment="1">
      <alignment horizontal="center"/>
    </xf>
    <xf numFmtId="43" fontId="4" fillId="0" borderId="7" xfId="0" applyNumberFormat="1" applyFont="1" applyBorder="1" applyAlignment="1">
      <alignment horizontal="center"/>
    </xf>
    <xf numFmtId="43" fontId="4" fillId="0" borderId="1" xfId="0" applyNumberFormat="1" applyFont="1" applyBorder="1" applyAlignment="1">
      <alignment horizontal="center"/>
    </xf>
    <xf numFmtId="10" fontId="4" fillId="0" borderId="7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9" fontId="4" fillId="0" borderId="7" xfId="1" applyFont="1" applyBorder="1" applyAlignment="1">
      <alignment horizontal="center"/>
    </xf>
    <xf numFmtId="10" fontId="3" fillId="3" borderId="12" xfId="1" applyNumberFormat="1" applyFont="1" applyFill="1" applyBorder="1" applyAlignment="1">
      <alignment horizontal="center"/>
    </xf>
    <xf numFmtId="9" fontId="4" fillId="0" borderId="1" xfId="1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20" xfId="0" applyFont="1" applyBorder="1"/>
    <xf numFmtId="0" fontId="5" fillId="0" borderId="22" xfId="0" applyFont="1" applyBorder="1"/>
    <xf numFmtId="43" fontId="4" fillId="0" borderId="2" xfId="2" applyFont="1" applyBorder="1" applyAlignment="1">
      <alignment horizontal="center"/>
    </xf>
    <xf numFmtId="43" fontId="4" fillId="0" borderId="12" xfId="2" applyFont="1" applyBorder="1" applyAlignment="1">
      <alignment horizontal="center"/>
    </xf>
    <xf numFmtId="0" fontId="5" fillId="0" borderId="24" xfId="0" applyFont="1" applyBorder="1"/>
    <xf numFmtId="164" fontId="4" fillId="0" borderId="2" xfId="2" applyNumberFormat="1" applyFont="1" applyBorder="1" applyAlignment="1">
      <alignment horizontal="center"/>
    </xf>
    <xf numFmtId="164" fontId="4" fillId="0" borderId="12" xfId="2" applyNumberFormat="1" applyFont="1" applyBorder="1" applyAlignment="1">
      <alignment horizontal="center"/>
    </xf>
    <xf numFmtId="0" fontId="2" fillId="0" borderId="19" xfId="0" applyFont="1" applyBorder="1"/>
    <xf numFmtId="41" fontId="2" fillId="0" borderId="19" xfId="0" applyNumberFormat="1" applyFont="1" applyBorder="1"/>
    <xf numFmtId="41" fontId="2" fillId="0" borderId="21" xfId="0" applyNumberFormat="1" applyFont="1" applyBorder="1"/>
    <xf numFmtId="0" fontId="2" fillId="0" borderId="0" xfId="0" applyFont="1"/>
    <xf numFmtId="43" fontId="2" fillId="0" borderId="0" xfId="2" applyFont="1" applyBorder="1"/>
    <xf numFmtId="43" fontId="2" fillId="0" borderId="25" xfId="2" applyFont="1" applyBorder="1"/>
    <xf numFmtId="0" fontId="2" fillId="0" borderId="18" xfId="0" applyFont="1" applyBorder="1"/>
    <xf numFmtId="41" fontId="2" fillId="0" borderId="18" xfId="0" applyNumberFormat="1" applyFont="1" applyBorder="1"/>
    <xf numFmtId="41" fontId="2" fillId="0" borderId="23" xfId="0" applyNumberFormat="1" applyFont="1" applyBorder="1"/>
    <xf numFmtId="164" fontId="2" fillId="0" borderId="0" xfId="2" applyNumberFormat="1" applyFont="1" applyBorder="1"/>
    <xf numFmtId="164" fontId="2" fillId="0" borderId="25" xfId="2" applyNumberFormat="1" applyFont="1" applyBorder="1"/>
    <xf numFmtId="0" fontId="4" fillId="0" borderId="2" xfId="0" applyFont="1" applyBorder="1"/>
    <xf numFmtId="0" fontId="4" fillId="0" borderId="4" xfId="0" applyFont="1" applyBorder="1"/>
    <xf numFmtId="9" fontId="4" fillId="0" borderId="3" xfId="1" applyFont="1" applyBorder="1"/>
    <xf numFmtId="0" fontId="4" fillId="0" borderId="8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164" fontId="4" fillId="0" borderId="0" xfId="2" applyNumberFormat="1" applyFont="1"/>
    <xf numFmtId="164" fontId="4" fillId="0" borderId="0" xfId="0" applyNumberFormat="1" applyFont="1"/>
    <xf numFmtId="0" fontId="9" fillId="0" borderId="0" xfId="0" applyFont="1" applyAlignment="1">
      <alignment horizontal="right"/>
    </xf>
    <xf numFmtId="0" fontId="9" fillId="0" borderId="0" xfId="0" applyFont="1"/>
    <xf numFmtId="0" fontId="3" fillId="0" borderId="0" xfId="0" applyFont="1"/>
    <xf numFmtId="9" fontId="9" fillId="0" borderId="0" xfId="1" applyFont="1"/>
    <xf numFmtId="166" fontId="4" fillId="0" borderId="0" xfId="1" applyNumberFormat="1" applyFont="1"/>
    <xf numFmtId="0" fontId="4" fillId="3" borderId="0" xfId="0" applyFont="1" applyFill="1"/>
    <xf numFmtId="166" fontId="9" fillId="0" borderId="0" xfId="0" applyNumberFormat="1" applyFont="1"/>
    <xf numFmtId="166" fontId="4" fillId="3" borderId="0" xfId="1" applyNumberFormat="1" applyFont="1" applyFill="1"/>
    <xf numFmtId="166" fontId="9" fillId="3" borderId="0" xfId="0" applyNumberFormat="1" applyFont="1" applyFill="1"/>
    <xf numFmtId="164" fontId="4" fillId="3" borderId="0" xfId="2" applyNumberFormat="1" applyFont="1" applyFill="1"/>
    <xf numFmtId="9" fontId="9" fillId="3" borderId="0" xfId="0" applyNumberFormat="1" applyFont="1" applyFill="1"/>
    <xf numFmtId="164" fontId="4" fillId="3" borderId="0" xfId="0" applyNumberFormat="1" applyFont="1" applyFill="1"/>
    <xf numFmtId="9" fontId="9" fillId="3" borderId="0" xfId="1" applyFont="1" applyFill="1"/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6" fillId="0" borderId="6" xfId="0" applyFont="1" applyBorder="1" applyAlignment="1">
      <alignment horizontal="center"/>
    </xf>
    <xf numFmtId="167" fontId="4" fillId="0" borderId="0" xfId="2" applyNumberFormat="1" applyFont="1"/>
    <xf numFmtId="167" fontId="6" fillId="0" borderId="6" xfId="2" applyNumberFormat="1" applyFont="1" applyBorder="1" applyAlignment="1">
      <alignment horizontal="center"/>
    </xf>
    <xf numFmtId="167" fontId="6" fillId="0" borderId="0" xfId="2" applyNumberFormat="1" applyFont="1" applyBorder="1"/>
    <xf numFmtId="0" fontId="4" fillId="0" borderId="11" xfId="0" applyFont="1" applyBorder="1"/>
    <xf numFmtId="43" fontId="6" fillId="0" borderId="14" xfId="2" applyFont="1" applyBorder="1"/>
    <xf numFmtId="167" fontId="6" fillId="0" borderId="14" xfId="2" applyNumberFormat="1" applyFont="1" applyFill="1" applyBorder="1"/>
    <xf numFmtId="167" fontId="6" fillId="0" borderId="16" xfId="2" applyNumberFormat="1" applyFont="1" applyFill="1" applyBorder="1"/>
    <xf numFmtId="167" fontId="6" fillId="0" borderId="13" xfId="2" applyNumberFormat="1" applyFont="1" applyFill="1" applyBorder="1"/>
    <xf numFmtId="167" fontId="6" fillId="0" borderId="14" xfId="2" applyNumberFormat="1" applyFont="1" applyBorder="1"/>
    <xf numFmtId="167" fontId="6" fillId="0" borderId="16" xfId="2" applyNumberFormat="1" applyFont="1" applyBorder="1"/>
    <xf numFmtId="167" fontId="6" fillId="0" borderId="13" xfId="2" applyNumberFormat="1" applyFont="1" applyBorder="1"/>
    <xf numFmtId="9" fontId="6" fillId="0" borderId="14" xfId="1" applyFont="1" applyBorder="1"/>
    <xf numFmtId="9" fontId="6" fillId="0" borderId="16" xfId="1" applyFont="1" applyBorder="1"/>
    <xf numFmtId="167" fontId="11" fillId="6" borderId="7" xfId="2" applyNumberFormat="1" applyFont="1" applyFill="1" applyBorder="1"/>
    <xf numFmtId="167" fontId="4" fillId="6" borderId="0" xfId="2" applyNumberFormat="1" applyFont="1" applyFill="1" applyBorder="1"/>
    <xf numFmtId="167" fontId="4" fillId="6" borderId="1" xfId="2" applyNumberFormat="1" applyFont="1" applyFill="1" applyBorder="1"/>
    <xf numFmtId="167" fontId="4" fillId="6" borderId="7" xfId="2" applyNumberFormat="1" applyFont="1" applyFill="1" applyBorder="1"/>
    <xf numFmtId="9" fontId="4" fillId="6" borderId="7" xfId="1" applyFont="1" applyFill="1" applyBorder="1"/>
    <xf numFmtId="9" fontId="4" fillId="6" borderId="0" xfId="1" applyFont="1" applyFill="1" applyBorder="1"/>
    <xf numFmtId="166" fontId="4" fillId="6" borderId="7" xfId="1" applyNumberFormat="1" applyFont="1" applyFill="1" applyBorder="1"/>
    <xf numFmtId="166" fontId="4" fillId="6" borderId="0" xfId="1" applyNumberFormat="1" applyFont="1" applyFill="1" applyBorder="1"/>
    <xf numFmtId="166" fontId="4" fillId="6" borderId="1" xfId="2" applyNumberFormat="1" applyFont="1" applyFill="1" applyBorder="1"/>
    <xf numFmtId="167" fontId="4" fillId="8" borderId="7" xfId="2" applyNumberFormat="1" applyFont="1" applyFill="1" applyBorder="1"/>
    <xf numFmtId="167" fontId="4" fillId="8" borderId="0" xfId="2" applyNumberFormat="1" applyFont="1" applyFill="1" applyBorder="1"/>
    <xf numFmtId="167" fontId="4" fillId="8" borderId="1" xfId="2" applyNumberFormat="1" applyFont="1" applyFill="1" applyBorder="1"/>
    <xf numFmtId="9" fontId="4" fillId="8" borderId="7" xfId="1" applyFont="1" applyFill="1" applyBorder="1"/>
    <xf numFmtId="9" fontId="4" fillId="8" borderId="0" xfId="1" applyFont="1" applyFill="1" applyBorder="1"/>
    <xf numFmtId="166" fontId="4" fillId="8" borderId="7" xfId="1" applyNumberFormat="1" applyFont="1" applyFill="1" applyBorder="1"/>
    <xf numFmtId="166" fontId="4" fillId="8" borderId="0" xfId="1" applyNumberFormat="1" applyFont="1" applyFill="1" applyBorder="1"/>
    <xf numFmtId="166" fontId="4" fillId="8" borderId="1" xfId="1" applyNumberFormat="1" applyFont="1" applyFill="1" applyBorder="1"/>
    <xf numFmtId="166" fontId="6" fillId="0" borderId="14" xfId="1" applyNumberFormat="1" applyFont="1" applyBorder="1"/>
    <xf numFmtId="166" fontId="6" fillId="0" borderId="16" xfId="1" applyNumberFormat="1" applyFont="1" applyBorder="1"/>
    <xf numFmtId="9" fontId="6" fillId="0" borderId="13" xfId="1" applyFont="1" applyBorder="1"/>
    <xf numFmtId="43" fontId="4" fillId="0" borderId="2" xfId="2" applyFont="1" applyFill="1" applyBorder="1" applyAlignment="1">
      <alignment horizontal="center"/>
    </xf>
    <xf numFmtId="43" fontId="4" fillId="0" borderId="14" xfId="2" applyFont="1" applyFill="1" applyBorder="1"/>
    <xf numFmtId="43" fontId="4" fillId="0" borderId="12" xfId="2" applyFont="1" applyFill="1" applyBorder="1" applyAlignment="1">
      <alignment horizontal="center"/>
    </xf>
    <xf numFmtId="43" fontId="4" fillId="8" borderId="1" xfId="2" applyFont="1" applyFill="1" applyBorder="1"/>
    <xf numFmtId="0" fontId="6" fillId="0" borderId="30" xfId="0" applyFont="1" applyBorder="1" applyAlignment="1">
      <alignment horizontal="center"/>
    </xf>
    <xf numFmtId="167" fontId="6" fillId="0" borderId="31" xfId="2" applyNumberFormat="1" applyFont="1" applyBorder="1" applyAlignment="1">
      <alignment horizontal="center"/>
    </xf>
    <xf numFmtId="165" fontId="4" fillId="0" borderId="0" xfId="2" applyNumberFormat="1" applyFont="1"/>
    <xf numFmtId="0" fontId="4" fillId="0" borderId="34" xfId="0" applyFont="1" applyBorder="1"/>
    <xf numFmtId="43" fontId="4" fillId="0" borderId="29" xfId="2" applyFont="1" applyBorder="1"/>
    <xf numFmtId="0" fontId="2" fillId="0" borderId="29" xfId="0" applyFont="1" applyBorder="1"/>
    <xf numFmtId="165" fontId="4" fillId="0" borderId="30" xfId="2" applyNumberFormat="1" applyFont="1" applyBorder="1"/>
    <xf numFmtId="43" fontId="4" fillId="0" borderId="31" xfId="2" applyFont="1" applyBorder="1"/>
    <xf numFmtId="0" fontId="2" fillId="0" borderId="31" xfId="0" applyFont="1" applyBorder="1"/>
    <xf numFmtId="43" fontId="3" fillId="0" borderId="30" xfId="0" applyNumberFormat="1" applyFont="1" applyBorder="1"/>
    <xf numFmtId="0" fontId="4" fillId="0" borderId="9" xfId="0" applyFont="1" applyBorder="1"/>
    <xf numFmtId="164" fontId="4" fillId="0" borderId="15" xfId="2" applyNumberFormat="1" applyFont="1" applyBorder="1"/>
    <xf numFmtId="164" fontId="4" fillId="0" borderId="0" xfId="2" applyNumberFormat="1" applyFont="1" applyBorder="1"/>
    <xf numFmtId="9" fontId="4" fillId="0" borderId="0" xfId="1" applyFont="1" applyBorder="1"/>
    <xf numFmtId="9" fontId="4" fillId="0" borderId="16" xfId="1" applyFont="1" applyBorder="1"/>
    <xf numFmtId="0" fontId="4" fillId="0" borderId="17" xfId="0" applyFont="1" applyBorder="1"/>
    <xf numFmtId="0" fontId="4" fillId="0" borderId="10" xfId="0" applyFont="1" applyBorder="1"/>
    <xf numFmtId="0" fontId="4" fillId="5" borderId="0" xfId="0" applyFont="1" applyFill="1"/>
    <xf numFmtId="0" fontId="3" fillId="0" borderId="8" xfId="0" applyFont="1" applyBorder="1"/>
    <xf numFmtId="164" fontId="3" fillId="0" borderId="2" xfId="2" applyNumberFormat="1" applyFont="1" applyBorder="1"/>
    <xf numFmtId="164" fontId="3" fillId="0" borderId="4" xfId="2" applyNumberFormat="1" applyFont="1" applyBorder="1"/>
    <xf numFmtId="10" fontId="3" fillId="0" borderId="4" xfId="1" applyNumberFormat="1" applyFont="1" applyBorder="1"/>
    <xf numFmtId="41" fontId="3" fillId="0" borderId="2" xfId="0" applyNumberFormat="1" applyFont="1" applyBorder="1"/>
    <xf numFmtId="41" fontId="3" fillId="0" borderId="4" xfId="0" applyNumberFormat="1" applyFont="1" applyBorder="1"/>
    <xf numFmtId="10" fontId="3" fillId="0" borderId="3" xfId="1" applyNumberFormat="1" applyFont="1" applyBorder="1"/>
    <xf numFmtId="43" fontId="4" fillId="0" borderId="28" xfId="2" applyFont="1" applyBorder="1"/>
    <xf numFmtId="43" fontId="4" fillId="0" borderId="30" xfId="2" applyFont="1" applyBorder="1"/>
    <xf numFmtId="0" fontId="3" fillId="0" borderId="30" xfId="0" applyFont="1" applyBorder="1" applyAlignment="1">
      <alignment vertical="center"/>
    </xf>
    <xf numFmtId="0" fontId="4" fillId="0" borderId="37" xfId="0" applyFont="1" applyBorder="1"/>
    <xf numFmtId="43" fontId="3" fillId="0" borderId="31" xfId="0" applyNumberFormat="1" applyFont="1" applyBorder="1"/>
    <xf numFmtId="0" fontId="4" fillId="0" borderId="32" xfId="0" applyFont="1" applyBorder="1"/>
    <xf numFmtId="0" fontId="2" fillId="0" borderId="33" xfId="0" applyFont="1" applyBorder="1"/>
    <xf numFmtId="0" fontId="4" fillId="0" borderId="28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6" xfId="0" applyFont="1" applyBorder="1"/>
    <xf numFmtId="0" fontId="4" fillId="0" borderId="35" xfId="0" applyFont="1" applyBorder="1"/>
    <xf numFmtId="43" fontId="4" fillId="0" borderId="32" xfId="2" applyFont="1" applyBorder="1"/>
    <xf numFmtId="43" fontId="4" fillId="0" borderId="33" xfId="2" applyFont="1" applyBorder="1"/>
    <xf numFmtId="168" fontId="4" fillId="0" borderId="34" xfId="0" applyNumberFormat="1" applyFont="1" applyBorder="1"/>
    <xf numFmtId="0" fontId="13" fillId="9" borderId="0" xfId="0" applyFont="1" applyFill="1"/>
    <xf numFmtId="0" fontId="5" fillId="0" borderId="38" xfId="0" applyFont="1" applyBorder="1"/>
    <xf numFmtId="0" fontId="4" fillId="0" borderId="39" xfId="0" applyFont="1" applyBorder="1"/>
    <xf numFmtId="41" fontId="5" fillId="0" borderId="39" xfId="0" applyNumberFormat="1" applyFont="1" applyBorder="1"/>
    <xf numFmtId="41" fontId="5" fillId="0" borderId="40" xfId="0" applyNumberFormat="1" applyFont="1" applyBorder="1"/>
    <xf numFmtId="9" fontId="3" fillId="0" borderId="14" xfId="1" applyFont="1" applyBorder="1"/>
    <xf numFmtId="0" fontId="13" fillId="10" borderId="32" xfId="0" applyFont="1" applyFill="1" applyBorder="1" applyAlignment="1">
      <alignment horizontal="center"/>
    </xf>
    <xf numFmtId="0" fontId="13" fillId="10" borderId="36" xfId="0" applyFont="1" applyFill="1" applyBorder="1" applyAlignment="1">
      <alignment horizontal="center"/>
    </xf>
    <xf numFmtId="0" fontId="13" fillId="10" borderId="33" xfId="0" applyFont="1" applyFill="1" applyBorder="1" applyAlignment="1">
      <alignment horizontal="center"/>
    </xf>
    <xf numFmtId="0" fontId="14" fillId="10" borderId="33" xfId="0" applyFont="1" applyFill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0" fontId="13" fillId="11" borderId="4" xfId="0" applyFont="1" applyFill="1" applyBorder="1" applyAlignment="1">
      <alignment horizontal="center"/>
    </xf>
    <xf numFmtId="0" fontId="13" fillId="11" borderId="3" xfId="0" applyFont="1" applyFill="1" applyBorder="1" applyAlignment="1">
      <alignment horizontal="center"/>
    </xf>
    <xf numFmtId="10" fontId="4" fillId="0" borderId="0" xfId="1" applyNumberFormat="1" applyFont="1"/>
    <xf numFmtId="164" fontId="3" fillId="3" borderId="0" xfId="2" applyNumberFormat="1" applyFont="1" applyFill="1"/>
    <xf numFmtId="166" fontId="3" fillId="3" borderId="0" xfId="1" applyNumberFormat="1" applyFont="1" applyFill="1"/>
    <xf numFmtId="0" fontId="4" fillId="0" borderId="0" xfId="0" applyFont="1" applyAlignment="1">
      <alignment horizontal="center" vertical="center" wrapText="1"/>
    </xf>
    <xf numFmtId="41" fontId="4" fillId="0" borderId="0" xfId="0" applyNumberFormat="1" applyFont="1" applyAlignment="1">
      <alignment horizontal="righ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9" xfId="3" applyBorder="1" applyAlignment="1">
      <alignment horizontal="center" vertical="center" wrapText="1"/>
    </xf>
    <xf numFmtId="0" fontId="12" fillId="0" borderId="17" xfId="3" applyBorder="1" applyAlignment="1">
      <alignment horizontal="center" vertical="center" wrapText="1"/>
    </xf>
    <xf numFmtId="0" fontId="12" fillId="0" borderId="10" xfId="3" applyBorder="1" applyAlignment="1">
      <alignment horizontal="center" vertical="center" wrapText="1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12" fillId="0" borderId="11" xfId="3" applyBorder="1" applyAlignment="1">
      <alignment horizontal="center" vertical="center" wrapText="1"/>
    </xf>
    <xf numFmtId="0" fontId="12" fillId="0" borderId="15" xfId="3" applyBorder="1" applyAlignment="1">
      <alignment horizontal="center" vertical="center" wrapText="1"/>
    </xf>
    <xf numFmtId="0" fontId="12" fillId="0" borderId="12" xfId="3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6" fillId="0" borderId="32" xfId="2" applyNumberFormat="1" applyFont="1" applyBorder="1" applyAlignment="1">
      <alignment horizontal="center"/>
    </xf>
    <xf numFmtId="165" fontId="6" fillId="0" borderId="33" xfId="2" applyNumberFormat="1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6" fontId="4" fillId="0" borderId="11" xfId="1" applyNumberFormat="1" applyFont="1" applyBorder="1" applyAlignment="1">
      <alignment horizontal="center"/>
    </xf>
    <xf numFmtId="166" fontId="4" fillId="0" borderId="14" xfId="1" applyNumberFormat="1" applyFont="1" applyBorder="1" applyAlignment="1">
      <alignment horizontal="center"/>
    </xf>
    <xf numFmtId="166" fontId="4" fillId="0" borderId="15" xfId="1" applyNumberFormat="1" applyFont="1" applyBorder="1" applyAlignment="1">
      <alignment horizontal="center"/>
    </xf>
    <xf numFmtId="166" fontId="4" fillId="0" borderId="16" xfId="1" applyNumberFormat="1" applyFont="1" applyBorder="1" applyAlignment="1">
      <alignment horizontal="center"/>
    </xf>
    <xf numFmtId="166" fontId="4" fillId="0" borderId="12" xfId="1" applyNumberFormat="1" applyFont="1" applyBorder="1" applyAlignment="1">
      <alignment horizontal="center"/>
    </xf>
    <xf numFmtId="166" fontId="4" fillId="0" borderId="13" xfId="1" applyNumberFormat="1" applyFont="1" applyBorder="1" applyAlignment="1">
      <alignment horizontal="center"/>
    </xf>
    <xf numFmtId="166" fontId="3" fillId="0" borderId="8" xfId="1" applyNumberFormat="1" applyFont="1" applyBorder="1" applyAlignment="1">
      <alignment horizontal="center"/>
    </xf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7</xdr:col>
      <xdr:colOff>321406</xdr:colOff>
      <xdr:row>101</xdr:row>
      <xdr:rowOff>26377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F6EF1C-F3FA-473B-8B9D-553B1A96B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052560"/>
          <a:ext cx="4314286" cy="23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A9085-2B1F-47E3-8362-818A728CF25E}">
  <sheetPr>
    <tabColor theme="0" tint="-0.249977111117893"/>
  </sheetPr>
  <dimension ref="B3:I49"/>
  <sheetViews>
    <sheetView showGridLines="0" zoomScaleNormal="100" workbookViewId="0">
      <pane xSplit="2" ySplit="7" topLeftCell="C8" activePane="bottomRight" state="frozen"/>
      <selection activeCell="A3" sqref="A3"/>
      <selection pane="topRight" activeCell="C3" sqref="C3"/>
      <selection pane="bottomLeft" activeCell="A8" sqref="A8"/>
      <selection pane="bottomRight" activeCell="B18" sqref="B18"/>
    </sheetView>
  </sheetViews>
  <sheetFormatPr defaultColWidth="8.85546875" defaultRowHeight="12" x14ac:dyDescent="0.2"/>
  <cols>
    <col min="1" max="1" width="2.7109375" style="3" customWidth="1"/>
    <col min="2" max="2" width="34.5703125" style="3" customWidth="1"/>
    <col min="3" max="3" width="8.85546875" style="3"/>
    <col min="4" max="4" width="10.7109375" style="3" bestFit="1" customWidth="1"/>
    <col min="5" max="5" width="11.7109375" style="3" bestFit="1" customWidth="1"/>
    <col min="6" max="6" width="9.28515625" style="3" bestFit="1" customWidth="1"/>
    <col min="7" max="16384" width="8.85546875" style="3"/>
  </cols>
  <sheetData>
    <row r="3" spans="2:7" ht="15.75" x14ac:dyDescent="0.25">
      <c r="B3" s="19" t="s">
        <v>142</v>
      </c>
    </row>
    <row r="4" spans="2:7" ht="15.75" x14ac:dyDescent="0.25">
      <c r="B4" s="19" t="s">
        <v>105</v>
      </c>
    </row>
    <row r="5" spans="2:7" ht="15.75" x14ac:dyDescent="0.25">
      <c r="B5" s="19" t="s">
        <v>87</v>
      </c>
    </row>
    <row r="6" spans="2:7" x14ac:dyDescent="0.2">
      <c r="D6" s="53" t="s">
        <v>92</v>
      </c>
      <c r="E6" s="53" t="s">
        <v>93</v>
      </c>
    </row>
    <row r="7" spans="2:7" ht="12" customHeight="1" thickBot="1" x14ac:dyDescent="0.25">
      <c r="B7" s="17" t="s">
        <v>86</v>
      </c>
      <c r="C7" s="18" t="s">
        <v>0</v>
      </c>
      <c r="D7" s="18" t="s">
        <v>128</v>
      </c>
      <c r="E7" s="18" t="s">
        <v>129</v>
      </c>
      <c r="F7" s="18" t="s">
        <v>130</v>
      </c>
    </row>
    <row r="8" spans="2:7" x14ac:dyDescent="0.2">
      <c r="B8" s="4"/>
    </row>
    <row r="9" spans="2:7" x14ac:dyDescent="0.2">
      <c r="B9" s="6" t="s">
        <v>1</v>
      </c>
      <c r="C9" s="7"/>
      <c r="D9" s="8"/>
      <c r="E9" s="8"/>
      <c r="F9" s="8"/>
    </row>
    <row r="10" spans="2:7" x14ac:dyDescent="0.2">
      <c r="B10" s="6" t="s">
        <v>2</v>
      </c>
      <c r="C10" s="7"/>
      <c r="D10" s="9"/>
      <c r="E10" s="9"/>
      <c r="F10" s="9"/>
    </row>
    <row r="11" spans="2:7" x14ac:dyDescent="0.2">
      <c r="B11" s="4" t="s">
        <v>3</v>
      </c>
      <c r="C11" s="7">
        <v>5</v>
      </c>
      <c r="D11" s="9">
        <v>107099</v>
      </c>
      <c r="E11" s="9">
        <v>105050</v>
      </c>
      <c r="F11" s="9">
        <v>104077</v>
      </c>
      <c r="G11" s="10"/>
    </row>
    <row r="12" spans="2:7" x14ac:dyDescent="0.2">
      <c r="B12" s="4" t="s">
        <v>4</v>
      </c>
      <c r="C12" s="7">
        <v>7</v>
      </c>
      <c r="D12" s="9">
        <v>1346</v>
      </c>
      <c r="E12" s="9">
        <v>1209</v>
      </c>
      <c r="F12" s="9">
        <v>849</v>
      </c>
    </row>
    <row r="13" spans="2:7" x14ac:dyDescent="0.2">
      <c r="B13" s="4" t="s">
        <v>5</v>
      </c>
      <c r="C13" s="7">
        <v>16</v>
      </c>
      <c r="D13" s="9">
        <v>691</v>
      </c>
      <c r="E13" s="9">
        <v>642</v>
      </c>
      <c r="F13" s="9">
        <v>719</v>
      </c>
    </row>
    <row r="14" spans="2:7" x14ac:dyDescent="0.2">
      <c r="B14" s="28" t="s">
        <v>7</v>
      </c>
      <c r="C14" s="29">
        <v>9</v>
      </c>
      <c r="D14" s="30">
        <v>1198</v>
      </c>
      <c r="E14" s="30">
        <v>368</v>
      </c>
      <c r="F14" s="30">
        <v>318</v>
      </c>
    </row>
    <row r="15" spans="2:7" x14ac:dyDescent="0.2">
      <c r="B15" s="6" t="s">
        <v>111</v>
      </c>
      <c r="C15" s="7"/>
      <c r="D15" s="11">
        <f>SUM(D11:D14)</f>
        <v>110334</v>
      </c>
      <c r="E15" s="11">
        <f>SUM(E11:E14)</f>
        <v>107269</v>
      </c>
      <c r="F15" s="11">
        <f>SUM(F11:F14)</f>
        <v>105963</v>
      </c>
    </row>
    <row r="16" spans="2:7" x14ac:dyDescent="0.2">
      <c r="B16" s="6"/>
      <c r="C16" s="7"/>
      <c r="D16" s="11"/>
      <c r="E16" s="11"/>
      <c r="F16" s="9"/>
    </row>
    <row r="17" spans="2:9" x14ac:dyDescent="0.2">
      <c r="B17" s="6" t="s">
        <v>8</v>
      </c>
      <c r="C17" s="2"/>
      <c r="D17" s="11"/>
      <c r="E17" s="11"/>
    </row>
    <row r="18" spans="2:9" x14ac:dyDescent="0.2">
      <c r="B18" s="4" t="s">
        <v>9</v>
      </c>
      <c r="C18" s="7">
        <v>10</v>
      </c>
      <c r="D18" s="9">
        <v>25369</v>
      </c>
      <c r="E18" s="9">
        <v>23758</v>
      </c>
      <c r="F18" s="9">
        <v>23432</v>
      </c>
      <c r="G18" s="10"/>
    </row>
    <row r="19" spans="2:9" x14ac:dyDescent="0.2">
      <c r="B19" s="4" t="s">
        <v>6</v>
      </c>
      <c r="C19" s="7">
        <v>11</v>
      </c>
      <c r="D19" s="9">
        <v>26247</v>
      </c>
      <c r="E19" s="9">
        <v>24617</v>
      </c>
      <c r="F19" s="9">
        <v>26115</v>
      </c>
      <c r="G19" s="10"/>
      <c r="H19" s="10"/>
    </row>
    <row r="20" spans="2:9" x14ac:dyDescent="0.2">
      <c r="B20" s="4" t="s">
        <v>135</v>
      </c>
      <c r="C20" s="7">
        <v>9</v>
      </c>
      <c r="D20" s="9">
        <v>3346</v>
      </c>
      <c r="E20" s="9">
        <v>3129</v>
      </c>
      <c r="F20" s="9">
        <v>3045</v>
      </c>
    </row>
    <row r="21" spans="2:9" x14ac:dyDescent="0.2">
      <c r="B21" s="28" t="s">
        <v>11</v>
      </c>
      <c r="C21" s="29">
        <v>12</v>
      </c>
      <c r="D21" s="30">
        <v>15945</v>
      </c>
      <c r="E21" s="30">
        <v>9497</v>
      </c>
      <c r="F21" s="30">
        <v>2998</v>
      </c>
    </row>
    <row r="22" spans="2:9" x14ac:dyDescent="0.2">
      <c r="B22" s="6" t="s">
        <v>112</v>
      </c>
      <c r="C22" s="7"/>
      <c r="D22" s="11">
        <f>SUM(D18:D21)</f>
        <v>70907</v>
      </c>
      <c r="E22" s="11">
        <f>SUM(E18:E21)</f>
        <v>61001</v>
      </c>
      <c r="F22" s="11">
        <f>SUM(F18:F21)</f>
        <v>55590</v>
      </c>
    </row>
    <row r="23" spans="2:9" ht="12.75" thickBot="1" x14ac:dyDescent="0.25">
      <c r="B23" s="21" t="s">
        <v>12</v>
      </c>
      <c r="C23" s="22"/>
      <c r="D23" s="23">
        <f>D15+D22</f>
        <v>181241</v>
      </c>
      <c r="E23" s="23">
        <f>E15+E22</f>
        <v>168270</v>
      </c>
      <c r="F23" s="23">
        <f>F22+F15</f>
        <v>161553</v>
      </c>
    </row>
    <row r="24" spans="2:9" x14ac:dyDescent="0.2">
      <c r="B24" s="4"/>
      <c r="C24" s="7"/>
      <c r="D24" s="9"/>
      <c r="E24" s="9"/>
    </row>
    <row r="25" spans="2:9" x14ac:dyDescent="0.2">
      <c r="B25" s="6" t="s">
        <v>13</v>
      </c>
      <c r="C25" s="7"/>
      <c r="D25" s="9"/>
      <c r="E25" s="9"/>
    </row>
    <row r="26" spans="2:9" ht="24" x14ac:dyDescent="0.2">
      <c r="B26" s="6" t="s">
        <v>108</v>
      </c>
      <c r="C26" s="7"/>
      <c r="D26" s="9"/>
      <c r="E26" s="9"/>
      <c r="F26" s="9"/>
    </row>
    <row r="27" spans="2:9" x14ac:dyDescent="0.2">
      <c r="B27" s="4" t="s">
        <v>184</v>
      </c>
      <c r="C27" s="7">
        <v>13</v>
      </c>
      <c r="D27" s="9">
        <v>24867</v>
      </c>
      <c r="E27" s="9">
        <v>22802</v>
      </c>
      <c r="F27" s="9">
        <v>20345</v>
      </c>
      <c r="H27" s="13"/>
      <c r="I27" s="13"/>
    </row>
    <row r="28" spans="2:9" x14ac:dyDescent="0.2">
      <c r="B28" s="4" t="s">
        <v>138</v>
      </c>
      <c r="C28" s="7"/>
      <c r="D28" s="9">
        <v>11802</v>
      </c>
      <c r="E28" s="9">
        <v>11980</v>
      </c>
      <c r="F28" s="9">
        <v>13802</v>
      </c>
      <c r="G28" s="10"/>
    </row>
    <row r="29" spans="2:9" x14ac:dyDescent="0.2">
      <c r="B29" s="28" t="s">
        <v>14</v>
      </c>
      <c r="C29" s="29"/>
      <c r="D29" s="30">
        <v>61141</v>
      </c>
      <c r="E29" s="30">
        <v>50504</v>
      </c>
      <c r="F29" s="30">
        <v>40390</v>
      </c>
      <c r="G29" s="10"/>
    </row>
    <row r="30" spans="2:9" x14ac:dyDescent="0.2">
      <c r="B30" s="6" t="s">
        <v>113</v>
      </c>
      <c r="C30" s="7"/>
      <c r="D30" s="11">
        <f>SUM(D27:D29)</f>
        <v>97810</v>
      </c>
      <c r="E30" s="11">
        <f>SUM(E27:E29)</f>
        <v>85286</v>
      </c>
      <c r="F30" s="11">
        <f>SUM(F27:F29)</f>
        <v>74537</v>
      </c>
    </row>
    <row r="31" spans="2:9" x14ac:dyDescent="0.2">
      <c r="B31" s="6" t="s">
        <v>15</v>
      </c>
      <c r="C31" s="2"/>
      <c r="D31" s="11">
        <v>33628</v>
      </c>
      <c r="E31" s="11">
        <v>28496</v>
      </c>
      <c r="F31" s="11">
        <v>24246</v>
      </c>
    </row>
    <row r="32" spans="2:9" ht="12.75" thickBot="1" x14ac:dyDescent="0.25">
      <c r="B32" s="21" t="s">
        <v>16</v>
      </c>
      <c r="C32" s="22"/>
      <c r="D32" s="23">
        <f>D30+D31</f>
        <v>131438</v>
      </c>
      <c r="E32" s="23">
        <f>E30+E31</f>
        <v>113782</v>
      </c>
      <c r="F32" s="23">
        <f>F30+F31</f>
        <v>98783</v>
      </c>
    </row>
    <row r="33" spans="2:6" x14ac:dyDescent="0.2">
      <c r="B33" s="6"/>
      <c r="C33" s="234"/>
      <c r="D33" s="235"/>
      <c r="E33" s="235"/>
    </row>
    <row r="34" spans="2:6" x14ac:dyDescent="0.2">
      <c r="B34" s="6" t="s">
        <v>17</v>
      </c>
      <c r="C34" s="234"/>
      <c r="D34" s="235"/>
      <c r="E34" s="235"/>
    </row>
    <row r="35" spans="2:6" x14ac:dyDescent="0.2">
      <c r="B35" s="6" t="s">
        <v>18</v>
      </c>
      <c r="C35" s="7"/>
      <c r="D35" s="9"/>
      <c r="E35" s="9"/>
      <c r="F35" s="9"/>
    </row>
    <row r="36" spans="2:6" x14ac:dyDescent="0.2">
      <c r="B36" s="4" t="s">
        <v>139</v>
      </c>
      <c r="C36" s="7">
        <v>14</v>
      </c>
      <c r="D36" s="9">
        <v>16982</v>
      </c>
      <c r="E36" s="9">
        <v>20994</v>
      </c>
      <c r="F36" s="9">
        <v>25781</v>
      </c>
    </row>
    <row r="37" spans="2:6" x14ac:dyDescent="0.2">
      <c r="B37" s="4" t="s">
        <v>19</v>
      </c>
      <c r="C37" s="7">
        <v>16</v>
      </c>
      <c r="D37" s="9">
        <v>797</v>
      </c>
      <c r="E37" s="9">
        <v>793</v>
      </c>
      <c r="F37" s="9">
        <v>669</v>
      </c>
    </row>
    <row r="38" spans="2:6" x14ac:dyDescent="0.2">
      <c r="B38" s="28" t="s">
        <v>20</v>
      </c>
      <c r="C38" s="29">
        <v>15</v>
      </c>
      <c r="D38" s="30">
        <v>522</v>
      </c>
      <c r="E38" s="30">
        <v>421</v>
      </c>
      <c r="F38" s="30">
        <v>377</v>
      </c>
    </row>
    <row r="39" spans="2:6" x14ac:dyDescent="0.2">
      <c r="B39" s="6" t="s">
        <v>114</v>
      </c>
      <c r="C39" s="7"/>
      <c r="D39" s="11">
        <f>SUM(D36:D38)</f>
        <v>18301</v>
      </c>
      <c r="E39" s="11">
        <f>SUM(E36:E38)</f>
        <v>22208</v>
      </c>
      <c r="F39" s="11">
        <f>SUM(F36:F38)</f>
        <v>26827</v>
      </c>
    </row>
    <row r="40" spans="2:6" x14ac:dyDescent="0.2">
      <c r="B40" s="6"/>
      <c r="C40" s="7"/>
      <c r="D40" s="11"/>
      <c r="E40" s="11"/>
      <c r="F40" s="11"/>
    </row>
    <row r="41" spans="2:6" x14ac:dyDescent="0.2">
      <c r="B41" s="6" t="s">
        <v>21</v>
      </c>
      <c r="C41" s="7"/>
      <c r="D41" s="9"/>
      <c r="E41" s="9"/>
      <c r="F41" s="9"/>
    </row>
    <row r="42" spans="2:6" x14ac:dyDescent="0.2">
      <c r="B42" s="4" t="s">
        <v>140</v>
      </c>
      <c r="C42" s="7">
        <v>14</v>
      </c>
      <c r="D42" s="9">
        <v>12492</v>
      </c>
      <c r="E42" s="9">
        <v>14022</v>
      </c>
      <c r="F42" s="9">
        <v>17970</v>
      </c>
    </row>
    <row r="43" spans="2:6" x14ac:dyDescent="0.2">
      <c r="B43" s="4" t="s">
        <v>22</v>
      </c>
      <c r="C43" s="7">
        <v>18</v>
      </c>
      <c r="D43" s="9">
        <v>18699</v>
      </c>
      <c r="E43" s="9">
        <v>18096</v>
      </c>
      <c r="F43" s="9">
        <v>17802</v>
      </c>
    </row>
    <row r="44" spans="2:6" x14ac:dyDescent="0.2">
      <c r="B44" s="4" t="s">
        <v>23</v>
      </c>
      <c r="C44" s="7"/>
      <c r="D44" s="9">
        <v>311</v>
      </c>
      <c r="E44" s="9">
        <v>162</v>
      </c>
      <c r="F44" s="9">
        <v>171</v>
      </c>
    </row>
    <row r="45" spans="2:6" x14ac:dyDescent="0.2">
      <c r="B45" s="6" t="s">
        <v>115</v>
      </c>
      <c r="C45" s="7"/>
      <c r="D45" s="11">
        <f>SUM(D42:D44)</f>
        <v>31502</v>
      </c>
      <c r="E45" s="11">
        <f>SUM(E42:E44)</f>
        <v>32280</v>
      </c>
      <c r="F45" s="11">
        <f>SUM(F42:F44)</f>
        <v>35943</v>
      </c>
    </row>
    <row r="46" spans="2:6" x14ac:dyDescent="0.2">
      <c r="B46" s="25" t="s">
        <v>24</v>
      </c>
      <c r="C46" s="26"/>
      <c r="D46" s="27">
        <f>D39+D45</f>
        <v>49803</v>
      </c>
      <c r="E46" s="27">
        <f>E39+E45</f>
        <v>54488</v>
      </c>
      <c r="F46" s="27">
        <f>F39+F45</f>
        <v>62770</v>
      </c>
    </row>
    <row r="47" spans="2:6" ht="12.75" thickBot="1" x14ac:dyDescent="0.25">
      <c r="B47" s="21" t="s">
        <v>25</v>
      </c>
      <c r="C47" s="22"/>
      <c r="D47" s="23">
        <f>D46+D32</f>
        <v>181241</v>
      </c>
      <c r="E47" s="23">
        <f>E46+E32</f>
        <v>168270</v>
      </c>
      <c r="F47" s="23">
        <f>F46+F32</f>
        <v>161553</v>
      </c>
    </row>
    <row r="49" spans="4:7" x14ac:dyDescent="0.2">
      <c r="D49" s="10">
        <f>D47-D23</f>
        <v>0</v>
      </c>
      <c r="E49" s="10">
        <f>E47-E23</f>
        <v>0</v>
      </c>
      <c r="F49" s="10">
        <f>F47-F23</f>
        <v>0</v>
      </c>
      <c r="G49" s="16" t="s">
        <v>141</v>
      </c>
    </row>
  </sheetData>
  <mergeCells count="3">
    <mergeCell ref="C33:C34"/>
    <mergeCell ref="D33:D34"/>
    <mergeCell ref="E33:E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8AA3-6599-4358-9D91-4177A40C605C}">
  <sheetPr>
    <tabColor theme="0" tint="-0.249977111117893"/>
  </sheetPr>
  <dimension ref="B3:F55"/>
  <sheetViews>
    <sheetView showGridLines="0" zoomScaleNormal="100" workbookViewId="0">
      <pane xSplit="2" ySplit="8" topLeftCell="C9" activePane="bottomRight" state="frozen"/>
      <selection activeCell="A2" sqref="A2"/>
      <selection pane="topRight" activeCell="C2" sqref="C2"/>
      <selection pane="bottomLeft" activeCell="A9" sqref="A9"/>
      <selection pane="bottomRight" activeCell="J18" sqref="J18"/>
    </sheetView>
  </sheetViews>
  <sheetFormatPr defaultColWidth="8.85546875" defaultRowHeight="12" x14ac:dyDescent="0.2"/>
  <cols>
    <col min="1" max="1" width="2.7109375" style="3" customWidth="1"/>
    <col min="2" max="2" width="30.28515625" style="3" customWidth="1"/>
    <col min="3" max="3" width="7.42578125" style="3" customWidth="1"/>
    <col min="4" max="4" width="11.5703125" style="3" bestFit="1" customWidth="1"/>
    <col min="5" max="5" width="11.7109375" style="3" bestFit="1" customWidth="1"/>
    <col min="6" max="16384" width="8.85546875" style="3"/>
  </cols>
  <sheetData>
    <row r="3" spans="2:6" ht="15.75" x14ac:dyDescent="0.25">
      <c r="B3" s="19" t="s">
        <v>142</v>
      </c>
    </row>
    <row r="4" spans="2:6" ht="15.75" x14ac:dyDescent="0.25">
      <c r="B4" s="19" t="s">
        <v>106</v>
      </c>
    </row>
    <row r="5" spans="2:6" ht="15.75" x14ac:dyDescent="0.25">
      <c r="B5" s="19" t="s">
        <v>107</v>
      </c>
    </row>
    <row r="6" spans="2:6" ht="15.75" x14ac:dyDescent="0.25">
      <c r="B6" s="19"/>
    </row>
    <row r="7" spans="2:6" ht="15.75" x14ac:dyDescent="0.25">
      <c r="B7" s="19"/>
      <c r="D7" s="53" t="s">
        <v>92</v>
      </c>
      <c r="E7" s="53" t="s">
        <v>93</v>
      </c>
    </row>
    <row r="8" spans="2:6" ht="12.6" customHeight="1" thickBot="1" x14ac:dyDescent="0.25">
      <c r="B8" s="17" t="s">
        <v>86</v>
      </c>
      <c r="C8" s="18" t="s">
        <v>0</v>
      </c>
      <c r="D8" s="18" t="s">
        <v>128</v>
      </c>
      <c r="E8" s="18" t="s">
        <v>129</v>
      </c>
    </row>
    <row r="9" spans="2:6" x14ac:dyDescent="0.2">
      <c r="B9" s="4"/>
      <c r="C9" s="2"/>
      <c r="D9" s="5"/>
      <c r="E9" s="5"/>
    </row>
    <row r="10" spans="2:6" x14ac:dyDescent="0.2">
      <c r="B10" s="6" t="s">
        <v>26</v>
      </c>
      <c r="C10" s="2"/>
      <c r="D10" s="5"/>
      <c r="E10" s="5"/>
    </row>
    <row r="11" spans="2:6" x14ac:dyDescent="0.2">
      <c r="B11" s="4" t="s">
        <v>27</v>
      </c>
      <c r="C11" s="7">
        <v>19</v>
      </c>
      <c r="D11" s="9">
        <v>191504</v>
      </c>
      <c r="E11" s="9">
        <v>172829</v>
      </c>
    </row>
    <row r="12" spans="2:6" x14ac:dyDescent="0.2">
      <c r="B12" s="4" t="s">
        <v>28</v>
      </c>
      <c r="C12" s="7">
        <v>19</v>
      </c>
      <c r="D12" s="9">
        <v>7341</v>
      </c>
      <c r="E12" s="9">
        <v>7312</v>
      </c>
    </row>
    <row r="13" spans="2:6" ht="12.75" thickBot="1" x14ac:dyDescent="0.25">
      <c r="B13" s="21" t="s">
        <v>109</v>
      </c>
      <c r="C13" s="24"/>
      <c r="D13" s="23">
        <f>SUM(D11:D12)</f>
        <v>198845</v>
      </c>
      <c r="E13" s="23">
        <f>SUM(E11:E12)</f>
        <v>180141</v>
      </c>
    </row>
    <row r="14" spans="2:6" x14ac:dyDescent="0.2">
      <c r="B14" s="6"/>
      <c r="C14" s="2"/>
      <c r="D14" s="11"/>
      <c r="E14" s="11"/>
    </row>
    <row r="15" spans="2:6" x14ac:dyDescent="0.2">
      <c r="B15" s="4" t="s">
        <v>137</v>
      </c>
      <c r="C15" s="2"/>
      <c r="D15" s="9">
        <v>-150291.84</v>
      </c>
      <c r="E15" s="9">
        <v>-138615.84</v>
      </c>
      <c r="F15" s="10"/>
    </row>
    <row r="16" spans="2:6" x14ac:dyDescent="0.2">
      <c r="B16" s="4"/>
      <c r="C16" s="2"/>
      <c r="D16" s="11"/>
      <c r="E16" s="11"/>
      <c r="F16" s="12"/>
    </row>
    <row r="17" spans="2:6" ht="12.75" thickBot="1" x14ac:dyDescent="0.25">
      <c r="B17" s="21" t="s">
        <v>39</v>
      </c>
      <c r="C17" s="24"/>
      <c r="D17" s="31">
        <f>D13+D15</f>
        <v>48553.16</v>
      </c>
      <c r="E17" s="31">
        <f>E13+E15</f>
        <v>41525.160000000003</v>
      </c>
    </row>
    <row r="18" spans="2:6" x14ac:dyDescent="0.2">
      <c r="B18" s="6"/>
      <c r="C18" s="2"/>
      <c r="D18" s="11"/>
      <c r="E18" s="11"/>
    </row>
    <row r="19" spans="2:6" x14ac:dyDescent="0.2">
      <c r="B19" s="4" t="s">
        <v>40</v>
      </c>
      <c r="C19" s="2"/>
      <c r="D19" s="9">
        <v>-5348.82</v>
      </c>
      <c r="E19" s="9">
        <v>-4906.32</v>
      </c>
    </row>
    <row r="20" spans="2:6" x14ac:dyDescent="0.2">
      <c r="B20" s="4" t="s">
        <v>67</v>
      </c>
      <c r="C20" s="2"/>
      <c r="D20" s="9">
        <v>-17612.34</v>
      </c>
      <c r="E20" s="9">
        <v>-15989.84</v>
      </c>
    </row>
    <row r="21" spans="2:6" x14ac:dyDescent="0.2">
      <c r="B21" s="4" t="s">
        <v>29</v>
      </c>
      <c r="C21" s="2"/>
      <c r="D21" s="9">
        <v>-3041</v>
      </c>
      <c r="E21" s="9">
        <v>-2032</v>
      </c>
    </row>
    <row r="22" spans="2:6" ht="12.75" thickBot="1" x14ac:dyDescent="0.25">
      <c r="B22" s="21" t="s">
        <v>110</v>
      </c>
      <c r="C22" s="24"/>
      <c r="D22" s="23">
        <f>SUM(D19:D21)</f>
        <v>-26002.16</v>
      </c>
      <c r="E22" s="23">
        <f>SUM(E19:E21)</f>
        <v>-22928.16</v>
      </c>
    </row>
    <row r="23" spans="2:6" x14ac:dyDescent="0.2">
      <c r="B23" s="4"/>
      <c r="C23" s="2"/>
      <c r="D23" s="9"/>
      <c r="E23" s="9"/>
    </row>
    <row r="24" spans="2:6" ht="12.75" thickBot="1" x14ac:dyDescent="0.25">
      <c r="B24" s="21" t="s">
        <v>165</v>
      </c>
      <c r="C24" s="24"/>
      <c r="D24" s="23">
        <f>D17+D22</f>
        <v>22551.000000000004</v>
      </c>
      <c r="E24" s="23">
        <f>E17+E22</f>
        <v>18597.000000000004</v>
      </c>
    </row>
    <row r="25" spans="2:6" x14ac:dyDescent="0.2">
      <c r="B25" s="6"/>
      <c r="C25" s="2"/>
      <c r="D25" s="11"/>
      <c r="E25" s="11"/>
    </row>
    <row r="26" spans="2:6" x14ac:dyDescent="0.2">
      <c r="B26" s="4" t="s">
        <v>136</v>
      </c>
      <c r="C26" s="7">
        <v>21</v>
      </c>
      <c r="D26" s="9">
        <v>-2725</v>
      </c>
      <c r="E26" s="9">
        <v>-2992</v>
      </c>
    </row>
    <row r="27" spans="2:6" x14ac:dyDescent="0.2">
      <c r="B27" s="4"/>
      <c r="C27" s="7"/>
      <c r="D27" s="9"/>
      <c r="E27" s="9"/>
    </row>
    <row r="28" spans="2:6" ht="12.75" thickBot="1" x14ac:dyDescent="0.25">
      <c r="B28" s="21" t="s">
        <v>166</v>
      </c>
      <c r="C28" s="24"/>
      <c r="D28" s="23">
        <f>D24+D26</f>
        <v>19826.000000000004</v>
      </c>
      <c r="E28" s="23">
        <f>E24+E26</f>
        <v>15605.000000000004</v>
      </c>
    </row>
    <row r="29" spans="2:6" x14ac:dyDescent="0.2">
      <c r="B29" s="4"/>
      <c r="C29" s="7"/>
      <c r="D29" s="9"/>
      <c r="E29" s="9"/>
    </row>
    <row r="30" spans="2:6" x14ac:dyDescent="0.2">
      <c r="B30" s="4" t="s">
        <v>30</v>
      </c>
      <c r="C30" s="7">
        <v>22</v>
      </c>
      <c r="D30" s="9">
        <v>-2128</v>
      </c>
      <c r="E30" s="9">
        <v>-1643</v>
      </c>
      <c r="F30" s="13"/>
    </row>
    <row r="31" spans="2:6" x14ac:dyDescent="0.2">
      <c r="B31" s="4"/>
      <c r="C31" s="7"/>
      <c r="D31" s="9"/>
      <c r="E31" s="9"/>
    </row>
    <row r="32" spans="2:6" ht="12.75" thickBot="1" x14ac:dyDescent="0.25">
      <c r="B32" s="21" t="s">
        <v>96</v>
      </c>
      <c r="C32" s="22"/>
      <c r="D32" s="23">
        <f>D28+D30</f>
        <v>17698.000000000004</v>
      </c>
      <c r="E32" s="23">
        <f>E28+E30</f>
        <v>13962.000000000004</v>
      </c>
    </row>
    <row r="33" spans="2:5" x14ac:dyDescent="0.2">
      <c r="B33" s="6"/>
      <c r="C33" s="7"/>
      <c r="D33" s="11"/>
      <c r="E33" s="11"/>
    </row>
    <row r="34" spans="2:5" hidden="1" x14ac:dyDescent="0.2">
      <c r="B34" s="6" t="s">
        <v>31</v>
      </c>
      <c r="C34" s="7"/>
      <c r="D34" s="9"/>
      <c r="E34" s="9"/>
    </row>
    <row r="35" spans="2:5" hidden="1" x14ac:dyDescent="0.2">
      <c r="B35" s="4" t="s">
        <v>32</v>
      </c>
      <c r="C35" s="7"/>
      <c r="D35" s="9">
        <v>12558</v>
      </c>
      <c r="E35" s="9">
        <v>10006</v>
      </c>
    </row>
    <row r="36" spans="2:5" hidden="1" x14ac:dyDescent="0.2">
      <c r="B36" s="28" t="s">
        <v>15</v>
      </c>
      <c r="C36" s="29"/>
      <c r="D36" s="30">
        <v>5140</v>
      </c>
      <c r="E36" s="30">
        <v>3956</v>
      </c>
    </row>
    <row r="37" spans="2:5" hidden="1" x14ac:dyDescent="0.2">
      <c r="B37" s="4"/>
      <c r="C37" s="2"/>
      <c r="D37" s="11">
        <f>SUM(D35:D36)</f>
        <v>17698</v>
      </c>
      <c r="E37" s="11">
        <f>SUM(E35:E36)</f>
        <v>13962</v>
      </c>
    </row>
    <row r="38" spans="2:5" hidden="1" x14ac:dyDescent="0.2">
      <c r="B38" s="6" t="s">
        <v>33</v>
      </c>
      <c r="C38" s="2"/>
      <c r="D38" s="11"/>
      <c r="E38" s="11"/>
    </row>
    <row r="39" spans="2:5" ht="24" hidden="1" x14ac:dyDescent="0.2">
      <c r="B39" s="1" t="s">
        <v>34</v>
      </c>
      <c r="C39" s="7"/>
      <c r="D39" s="9"/>
      <c r="E39" s="9"/>
    </row>
    <row r="40" spans="2:5" ht="24" hidden="1" x14ac:dyDescent="0.2">
      <c r="B40" s="4" t="s">
        <v>35</v>
      </c>
      <c r="C40" s="7"/>
      <c r="D40" s="11">
        <v>0</v>
      </c>
      <c r="E40" s="9">
        <v>1037</v>
      </c>
    </row>
    <row r="41" spans="2:5" ht="24.75" hidden="1" thickBot="1" x14ac:dyDescent="0.25">
      <c r="B41" s="21" t="s">
        <v>36</v>
      </c>
      <c r="C41" s="24"/>
      <c r="D41" s="23">
        <f>SUM(D40)</f>
        <v>0</v>
      </c>
      <c r="E41" s="23">
        <f>SUM(E40)</f>
        <v>1037</v>
      </c>
    </row>
    <row r="42" spans="2:5" hidden="1" x14ac:dyDescent="0.2">
      <c r="B42" s="6"/>
      <c r="C42" s="7"/>
      <c r="D42" s="11"/>
      <c r="E42" s="11"/>
    </row>
    <row r="43" spans="2:5" ht="24.75" hidden="1" thickBot="1" x14ac:dyDescent="0.25">
      <c r="B43" s="21" t="s">
        <v>37</v>
      </c>
      <c r="C43" s="22"/>
      <c r="D43" s="23">
        <f>D37+D41</f>
        <v>17698</v>
      </c>
      <c r="E43" s="23">
        <f>E37+E41</f>
        <v>14999</v>
      </c>
    </row>
    <row r="44" spans="2:5" hidden="1" x14ac:dyDescent="0.2">
      <c r="B44" s="6"/>
      <c r="C44" s="7"/>
      <c r="D44" s="11"/>
      <c r="E44" s="11"/>
    </row>
    <row r="45" spans="2:5" ht="24" hidden="1" x14ac:dyDescent="0.2">
      <c r="B45" s="6" t="s">
        <v>38</v>
      </c>
      <c r="C45" s="7"/>
      <c r="D45" s="9"/>
      <c r="E45" s="9"/>
    </row>
    <row r="46" spans="2:5" hidden="1" x14ac:dyDescent="0.2">
      <c r="B46" s="4" t="s">
        <v>32</v>
      </c>
      <c r="C46" s="7"/>
      <c r="D46" s="9">
        <v>12558</v>
      </c>
      <c r="E46" s="9">
        <v>10749</v>
      </c>
    </row>
    <row r="47" spans="2:5" hidden="1" x14ac:dyDescent="0.2">
      <c r="B47" s="28" t="s">
        <v>15</v>
      </c>
      <c r="C47" s="29"/>
      <c r="D47" s="30">
        <v>5140</v>
      </c>
      <c r="E47" s="30">
        <v>4250</v>
      </c>
    </row>
    <row r="48" spans="2:5" hidden="1" x14ac:dyDescent="0.2">
      <c r="B48" s="4"/>
      <c r="C48" s="7"/>
      <c r="D48" s="11">
        <f>SUM(D46:D47)</f>
        <v>17698</v>
      </c>
      <c r="E48" s="11">
        <f>SUM(E46:E47)</f>
        <v>14999</v>
      </c>
    </row>
    <row r="49" spans="2:5" ht="12.75" thickBot="1" x14ac:dyDescent="0.25">
      <c r="B49" s="4"/>
      <c r="C49" s="7"/>
      <c r="D49" s="11"/>
      <c r="E49" s="11"/>
    </row>
    <row r="50" spans="2:5" x14ac:dyDescent="0.2">
      <c r="B50" s="99" t="s">
        <v>185</v>
      </c>
      <c r="C50" s="106"/>
      <c r="D50" s="107">
        <v>10000</v>
      </c>
      <c r="E50" s="108">
        <v>10000</v>
      </c>
    </row>
    <row r="51" spans="2:5" x14ac:dyDescent="0.2">
      <c r="B51" s="103" t="s">
        <v>197</v>
      </c>
      <c r="C51" s="109"/>
      <c r="D51" s="110">
        <v>0.88</v>
      </c>
      <c r="E51" s="111">
        <v>0.65</v>
      </c>
    </row>
    <row r="52" spans="2:5" x14ac:dyDescent="0.2">
      <c r="B52" s="103" t="s">
        <v>202</v>
      </c>
      <c r="C52" s="109"/>
      <c r="D52" s="115">
        <f>D50*D51</f>
        <v>8800</v>
      </c>
      <c r="E52" s="116">
        <f>E50*E51</f>
        <v>6500</v>
      </c>
    </row>
    <row r="53" spans="2:5" x14ac:dyDescent="0.2">
      <c r="B53" s="103" t="s">
        <v>189</v>
      </c>
      <c r="C53" s="109"/>
      <c r="D53" s="110">
        <v>2.95</v>
      </c>
      <c r="E53" s="111">
        <v>2.15</v>
      </c>
    </row>
    <row r="54" spans="2:5" ht="12.75" thickBot="1" x14ac:dyDescent="0.25">
      <c r="B54" s="100" t="s">
        <v>191</v>
      </c>
      <c r="C54" s="112"/>
      <c r="D54" s="113">
        <f>D50*D53</f>
        <v>29500</v>
      </c>
      <c r="E54" s="114">
        <f>E50*E53</f>
        <v>21500</v>
      </c>
    </row>
    <row r="55" spans="2:5" ht="12.75" thickBot="1" x14ac:dyDescent="0.25">
      <c r="B55" s="219" t="s">
        <v>80</v>
      </c>
      <c r="C55" s="220"/>
      <c r="D55" s="221">
        <v>-2281</v>
      </c>
      <c r="E55" s="222">
        <v>-2475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13CF-59B3-47B4-A246-7F08DB658AB5}">
  <sheetPr>
    <tabColor theme="5" tint="0.59999389629810485"/>
  </sheetPr>
  <dimension ref="B3:O49"/>
  <sheetViews>
    <sheetView showGridLines="0" topLeftCell="A22" zoomScaleNormal="100" workbookViewId="0">
      <selection activeCell="M37" sqref="M37:M38"/>
    </sheetView>
  </sheetViews>
  <sheetFormatPr defaultColWidth="8.85546875" defaultRowHeight="12" x14ac:dyDescent="0.2"/>
  <cols>
    <col min="1" max="1" width="2.7109375" style="3" customWidth="1"/>
    <col min="2" max="2" width="31.7109375" style="3" bestFit="1" customWidth="1"/>
    <col min="3" max="3" width="24.42578125" style="3" customWidth="1"/>
    <col min="4" max="4" width="2.7109375" style="15" customWidth="1"/>
    <col min="5" max="5" width="8.85546875" style="10" customWidth="1"/>
    <col min="6" max="6" width="2.7109375" style="15" customWidth="1"/>
    <col min="7" max="7" width="7.28515625" style="3" customWidth="1"/>
    <col min="8" max="8" width="2.7109375" style="3" customWidth="1"/>
    <col min="9" max="9" width="8.42578125" style="3" customWidth="1"/>
    <col min="10" max="10" width="2.7109375" style="3" customWidth="1"/>
    <col min="11" max="11" width="7.28515625" style="3" customWidth="1"/>
    <col min="12" max="12" width="2.7109375" style="3" customWidth="1"/>
    <col min="13" max="13" width="37.140625" style="3" customWidth="1"/>
    <col min="14" max="16384" width="8.85546875" style="3"/>
  </cols>
  <sheetData>
    <row r="3" spans="2:15" s="59" customFormat="1" x14ac:dyDescent="0.25">
      <c r="B3" s="242" t="s">
        <v>104</v>
      </c>
      <c r="C3" s="243"/>
      <c r="D3" s="57"/>
      <c r="E3" s="242" t="s">
        <v>271</v>
      </c>
      <c r="F3" s="244"/>
      <c r="G3" s="243"/>
      <c r="H3" s="57"/>
      <c r="I3" s="242" t="s">
        <v>272</v>
      </c>
      <c r="J3" s="244"/>
      <c r="K3" s="243"/>
      <c r="L3" s="57"/>
      <c r="M3" s="58" t="s">
        <v>116</v>
      </c>
      <c r="O3" s="140"/>
    </row>
    <row r="5" spans="2:15" ht="12" customHeight="1" x14ac:dyDescent="0.2">
      <c r="B5" s="240" t="s">
        <v>42</v>
      </c>
      <c r="C5" s="32" t="s">
        <v>41</v>
      </c>
      <c r="E5" s="34">
        <f>'P&amp;L'!D13</f>
        <v>198845</v>
      </c>
      <c r="F5" s="246" t="s">
        <v>44</v>
      </c>
      <c r="G5" s="45">
        <f>E5/E6</f>
        <v>7.8186929852154767</v>
      </c>
      <c r="I5" s="34">
        <f>'P&amp;L'!E13</f>
        <v>180141</v>
      </c>
      <c r="J5" s="246" t="s">
        <v>44</v>
      </c>
      <c r="K5" s="45">
        <f>I5/I6</f>
        <v>7.1016715288181027</v>
      </c>
      <c r="M5" s="236" t="s">
        <v>241</v>
      </c>
    </row>
    <row r="6" spans="2:15" x14ac:dyDescent="0.2">
      <c r="B6" s="241"/>
      <c r="C6" s="33" t="s">
        <v>43</v>
      </c>
      <c r="E6" s="37">
        <f>AVERAGE(BS!D19:E19)</f>
        <v>25432</v>
      </c>
      <c r="F6" s="247"/>
      <c r="G6" s="38"/>
      <c r="I6" s="37">
        <f>AVERAGE(BS!E19:F19)</f>
        <v>25366</v>
      </c>
      <c r="J6" s="247"/>
      <c r="K6" s="38"/>
      <c r="M6" s="237"/>
    </row>
    <row r="7" spans="2:15" x14ac:dyDescent="0.2">
      <c r="I7" s="10"/>
      <c r="J7" s="15"/>
    </row>
    <row r="8" spans="2:15" x14ac:dyDescent="0.2">
      <c r="I8" s="10"/>
      <c r="J8" s="15"/>
    </row>
    <row r="9" spans="2:15" x14ac:dyDescent="0.2">
      <c r="B9" s="240" t="s">
        <v>118</v>
      </c>
      <c r="C9" s="32">
        <v>365</v>
      </c>
      <c r="E9" s="50">
        <v>365</v>
      </c>
      <c r="F9" s="246" t="s">
        <v>44</v>
      </c>
      <c r="G9" s="45">
        <f>E9/E10</f>
        <v>46.682994292036511</v>
      </c>
      <c r="I9" s="50">
        <v>365</v>
      </c>
      <c r="J9" s="246" t="s">
        <v>44</v>
      </c>
      <c r="K9" s="45">
        <f>I9/I10</f>
        <v>51.396350636445895</v>
      </c>
      <c r="M9" s="236" t="s">
        <v>169</v>
      </c>
    </row>
    <row r="10" spans="2:15" x14ac:dyDescent="0.2">
      <c r="B10" s="241"/>
      <c r="C10" s="33" t="s">
        <v>45</v>
      </c>
      <c r="E10" s="51">
        <f>G5</f>
        <v>7.8186929852154767</v>
      </c>
      <c r="F10" s="247"/>
      <c r="G10" s="38"/>
      <c r="I10" s="51">
        <f>K5</f>
        <v>7.1016715288181027</v>
      </c>
      <c r="J10" s="247"/>
      <c r="K10" s="38"/>
      <c r="M10" s="237"/>
    </row>
    <row r="11" spans="2:15" x14ac:dyDescent="0.2">
      <c r="I11" s="10"/>
      <c r="J11" s="15"/>
    </row>
    <row r="12" spans="2:15" x14ac:dyDescent="0.2">
      <c r="I12" s="10"/>
      <c r="J12" s="15"/>
    </row>
    <row r="13" spans="2:15" ht="12" customHeight="1" x14ac:dyDescent="0.2">
      <c r="B13" s="240" t="s">
        <v>117</v>
      </c>
      <c r="C13" s="32" t="s">
        <v>46</v>
      </c>
      <c r="E13" s="34">
        <f>-'P&amp;L'!D15</f>
        <v>150291.84</v>
      </c>
      <c r="F13" s="246" t="s">
        <v>44</v>
      </c>
      <c r="G13" s="36">
        <f>E13/E14</f>
        <v>6.1185026563804019</v>
      </c>
      <c r="I13" s="34">
        <f>-'P&amp;L'!E15</f>
        <v>138615.84</v>
      </c>
      <c r="J13" s="246" t="s">
        <v>44</v>
      </c>
      <c r="K13" s="36">
        <f>I13/I14</f>
        <v>5.8747972027972031</v>
      </c>
      <c r="M13" s="236" t="s">
        <v>242</v>
      </c>
    </row>
    <row r="14" spans="2:15" x14ac:dyDescent="0.2">
      <c r="B14" s="241"/>
      <c r="C14" s="33" t="s">
        <v>47</v>
      </c>
      <c r="E14" s="37">
        <f>AVERAGE(BS!D18:E18)</f>
        <v>24563.5</v>
      </c>
      <c r="F14" s="247"/>
      <c r="G14" s="38"/>
      <c r="I14" s="37">
        <f>AVERAGE(BS!E18:F18)</f>
        <v>23595</v>
      </c>
      <c r="J14" s="247"/>
      <c r="K14" s="38"/>
      <c r="M14" s="237"/>
    </row>
    <row r="15" spans="2:15" x14ac:dyDescent="0.2">
      <c r="I15" s="10"/>
      <c r="J15" s="15"/>
    </row>
    <row r="16" spans="2:15" x14ac:dyDescent="0.2">
      <c r="I16" s="10"/>
      <c r="J16" s="15"/>
    </row>
    <row r="17" spans="2:14" x14ac:dyDescent="0.2">
      <c r="B17" s="240" t="s">
        <v>48</v>
      </c>
      <c r="C17" s="32">
        <v>365</v>
      </c>
      <c r="E17" s="50">
        <v>365</v>
      </c>
      <c r="F17" s="246" t="s">
        <v>44</v>
      </c>
      <c r="G17" s="45">
        <f>E17/E18</f>
        <v>59.655118335100561</v>
      </c>
      <c r="I17" s="50">
        <v>365</v>
      </c>
      <c r="J17" s="246" t="s">
        <v>44</v>
      </c>
      <c r="K17" s="45">
        <f>I17/I18</f>
        <v>62.129804212851859</v>
      </c>
      <c r="M17" s="236" t="s">
        <v>122</v>
      </c>
    </row>
    <row r="18" spans="2:14" ht="11.45" customHeight="1" x14ac:dyDescent="0.2">
      <c r="B18" s="241"/>
      <c r="C18" s="33" t="s">
        <v>49</v>
      </c>
      <c r="E18" s="48">
        <f>G13</f>
        <v>6.1185026563804019</v>
      </c>
      <c r="F18" s="247"/>
      <c r="G18" s="38"/>
      <c r="I18" s="48">
        <f>K13</f>
        <v>5.8747972027972031</v>
      </c>
      <c r="J18" s="247"/>
      <c r="K18" s="38"/>
      <c r="M18" s="237"/>
    </row>
    <row r="19" spans="2:14" x14ac:dyDescent="0.2">
      <c r="I19" s="10"/>
      <c r="J19" s="15"/>
    </row>
    <row r="20" spans="2:14" x14ac:dyDescent="0.2">
      <c r="I20" s="10"/>
      <c r="J20" s="15"/>
    </row>
    <row r="21" spans="2:14" ht="12" customHeight="1" x14ac:dyDescent="0.2">
      <c r="B21" s="240" t="s">
        <v>50</v>
      </c>
      <c r="C21" s="32" t="s">
        <v>51</v>
      </c>
      <c r="E21" s="34">
        <f>BS!D18-BS!E18+(-'P&amp;L'!D15)</f>
        <v>151902.84</v>
      </c>
      <c r="F21" s="246" t="s">
        <v>44</v>
      </c>
      <c r="G21" s="36">
        <f>E21/E22</f>
        <v>8.2567109661638813</v>
      </c>
      <c r="I21" s="34">
        <f>BS!E18-BS!F18+(-'P&amp;L'!E15)</f>
        <v>138941.84</v>
      </c>
      <c r="J21" s="246" t="s">
        <v>44</v>
      </c>
      <c r="K21" s="36">
        <f>I21/I22</f>
        <v>7.7409237283414116</v>
      </c>
      <c r="M21" s="236" t="s">
        <v>243</v>
      </c>
      <c r="N21" s="3" t="s">
        <v>131</v>
      </c>
    </row>
    <row r="22" spans="2:14" x14ac:dyDescent="0.2">
      <c r="B22" s="241"/>
      <c r="C22" s="33" t="s">
        <v>52</v>
      </c>
      <c r="E22" s="37">
        <f>AVERAGE(BS!D43:E43)</f>
        <v>18397.5</v>
      </c>
      <c r="F22" s="247"/>
      <c r="G22" s="38"/>
      <c r="I22" s="37">
        <f>AVERAGE(BS!E43:F43)</f>
        <v>17949</v>
      </c>
      <c r="J22" s="247"/>
      <c r="K22" s="38"/>
      <c r="M22" s="237"/>
    </row>
    <row r="23" spans="2:14" x14ac:dyDescent="0.2">
      <c r="I23" s="10"/>
      <c r="J23" s="15"/>
    </row>
    <row r="24" spans="2:14" x14ac:dyDescent="0.2">
      <c r="I24" s="10"/>
      <c r="J24" s="15"/>
    </row>
    <row r="25" spans="2:14" x14ac:dyDescent="0.2">
      <c r="B25" s="240" t="s">
        <v>121</v>
      </c>
      <c r="C25" s="32">
        <v>365</v>
      </c>
      <c r="E25" s="50">
        <v>365</v>
      </c>
      <c r="F25" s="246" t="s">
        <v>44</v>
      </c>
      <c r="G25" s="45">
        <f>E25/E26</f>
        <v>44.20646447426526</v>
      </c>
      <c r="I25" s="50">
        <v>365</v>
      </c>
      <c r="J25" s="246" t="s">
        <v>44</v>
      </c>
      <c r="K25" s="45">
        <f>I25/I26</f>
        <v>47.151995396059242</v>
      </c>
      <c r="M25" s="238" t="s">
        <v>170</v>
      </c>
    </row>
    <row r="26" spans="2:14" x14ac:dyDescent="0.2">
      <c r="B26" s="241"/>
      <c r="C26" s="33" t="s">
        <v>282</v>
      </c>
      <c r="E26" s="48">
        <f>G21</f>
        <v>8.2567109661638813</v>
      </c>
      <c r="F26" s="247"/>
      <c r="G26" s="38"/>
      <c r="I26" s="48">
        <f>K21</f>
        <v>7.7409237283414116</v>
      </c>
      <c r="J26" s="247"/>
      <c r="K26" s="38"/>
      <c r="M26" s="239"/>
    </row>
    <row r="27" spans="2:14" x14ac:dyDescent="0.2">
      <c r="I27" s="10"/>
      <c r="J27" s="15"/>
    </row>
    <row r="28" spans="2:14" x14ac:dyDescent="0.2">
      <c r="I28" s="10"/>
      <c r="J28" s="15"/>
    </row>
    <row r="29" spans="2:14" x14ac:dyDescent="0.2">
      <c r="B29" s="240" t="s">
        <v>123</v>
      </c>
      <c r="C29" s="32" t="s">
        <v>53</v>
      </c>
      <c r="E29" s="34">
        <f>'P&amp;L'!D13</f>
        <v>198845</v>
      </c>
      <c r="F29" s="246" t="s">
        <v>44</v>
      </c>
      <c r="G29" s="36">
        <f>E29/E30</f>
        <v>1.8745787159025025</v>
      </c>
      <c r="I29" s="34">
        <f>'P&amp;L'!E13</f>
        <v>180141</v>
      </c>
      <c r="J29" s="246" t="s">
        <v>44</v>
      </c>
      <c r="K29" s="36">
        <f>I29/I30</f>
        <v>1.72279045747321</v>
      </c>
      <c r="M29" s="236" t="s">
        <v>244</v>
      </c>
    </row>
    <row r="30" spans="2:14" x14ac:dyDescent="0.2">
      <c r="B30" s="241"/>
      <c r="C30" s="33" t="s">
        <v>55</v>
      </c>
      <c r="E30" s="37">
        <f>AVERAGE(BS!D11:E11)</f>
        <v>106074.5</v>
      </c>
      <c r="F30" s="247"/>
      <c r="G30" s="38"/>
      <c r="I30" s="37">
        <f>AVERAGE(BS!E11:F11)</f>
        <v>104563.5</v>
      </c>
      <c r="J30" s="247"/>
      <c r="K30" s="38"/>
      <c r="M30" s="237"/>
    </row>
    <row r="31" spans="2:14" x14ac:dyDescent="0.2">
      <c r="I31" s="10"/>
      <c r="J31" s="15"/>
    </row>
    <row r="32" spans="2:14" x14ac:dyDescent="0.2">
      <c r="I32" s="10"/>
      <c r="J32" s="15"/>
    </row>
    <row r="33" spans="2:13" x14ac:dyDescent="0.2">
      <c r="B33" s="240" t="s">
        <v>124</v>
      </c>
      <c r="C33" s="32" t="s">
        <v>53</v>
      </c>
      <c r="E33" s="34">
        <f>'P&amp;L'!D13</f>
        <v>198845</v>
      </c>
      <c r="F33" s="246" t="s">
        <v>44</v>
      </c>
      <c r="G33" s="36">
        <f>E33/E34</f>
        <v>5.8375656871091799</v>
      </c>
      <c r="I33" s="34">
        <f>'P&amp;L'!E13</f>
        <v>180141</v>
      </c>
      <c r="J33" s="246" t="s">
        <v>44</v>
      </c>
      <c r="K33" s="36">
        <f>I33/I34</f>
        <v>7.4487677803506447</v>
      </c>
      <c r="M33" s="236" t="s">
        <v>245</v>
      </c>
    </row>
    <row r="34" spans="2:13" x14ac:dyDescent="0.2">
      <c r="B34" s="241"/>
      <c r="C34" s="33" t="s">
        <v>56</v>
      </c>
      <c r="E34" s="37">
        <f>AVERAGE(BS!D22:E22)-AVERAGE(BS!D45:E45)</f>
        <v>34063</v>
      </c>
      <c r="F34" s="247"/>
      <c r="G34" s="38"/>
      <c r="I34" s="37">
        <f>AVERAGE(BS!E22:F22)-AVERAGE(BS!E45:F45)</f>
        <v>24184</v>
      </c>
      <c r="J34" s="247"/>
      <c r="K34" s="38"/>
      <c r="M34" s="237"/>
    </row>
    <row r="35" spans="2:13" x14ac:dyDescent="0.2">
      <c r="B35" s="52"/>
      <c r="C35" s="15"/>
      <c r="I35" s="10"/>
      <c r="J35" s="15"/>
    </row>
    <row r="36" spans="2:13" x14ac:dyDescent="0.2">
      <c r="I36" s="10"/>
      <c r="J36" s="15"/>
    </row>
    <row r="37" spans="2:13" ht="12" customHeight="1" x14ac:dyDescent="0.2">
      <c r="B37" s="240" t="s">
        <v>125</v>
      </c>
      <c r="C37" s="32" t="s">
        <v>53</v>
      </c>
      <c r="E37" s="34">
        <f>'P&amp;L'!D13</f>
        <v>198845</v>
      </c>
      <c r="F37" s="246" t="s">
        <v>44</v>
      </c>
      <c r="G37" s="36">
        <f>E37/E38</f>
        <v>1.1378468774945567</v>
      </c>
      <c r="I37" s="34">
        <f>'P&amp;L'!E13</f>
        <v>180141</v>
      </c>
      <c r="J37" s="246" t="s">
        <v>44</v>
      </c>
      <c r="K37" s="36">
        <f>I37/I38</f>
        <v>1.0923495329312995</v>
      </c>
      <c r="M37" s="236" t="s">
        <v>246</v>
      </c>
    </row>
    <row r="38" spans="2:13" x14ac:dyDescent="0.2">
      <c r="B38" s="241"/>
      <c r="C38" s="33" t="s">
        <v>54</v>
      </c>
      <c r="E38" s="37">
        <f>AVERAGE(BS!D23:E23)</f>
        <v>174755.5</v>
      </c>
      <c r="F38" s="247"/>
      <c r="G38" s="38"/>
      <c r="I38" s="37">
        <f>AVERAGE(BS!E23:F23)</f>
        <v>164911.5</v>
      </c>
      <c r="J38" s="247"/>
      <c r="K38" s="38"/>
      <c r="M38" s="237"/>
    </row>
    <row r="39" spans="2:13" x14ac:dyDescent="0.2">
      <c r="I39" s="10"/>
      <c r="J39" s="15"/>
    </row>
    <row r="40" spans="2:13" x14ac:dyDescent="0.2">
      <c r="I40" s="10"/>
      <c r="J40" s="15"/>
    </row>
    <row r="41" spans="2:13" x14ac:dyDescent="0.2">
      <c r="B41" s="39" t="s">
        <v>126</v>
      </c>
      <c r="C41" s="40" t="s">
        <v>119</v>
      </c>
      <c r="D41" s="3"/>
      <c r="E41" s="44">
        <f>G9</f>
        <v>46.682994292036511</v>
      </c>
      <c r="F41" s="35" t="s">
        <v>44</v>
      </c>
      <c r="G41" s="45">
        <f>E41+E43-E45</f>
        <v>62.131648152871804</v>
      </c>
      <c r="I41" s="44">
        <f>K9</f>
        <v>51.396350636445895</v>
      </c>
      <c r="J41" s="35" t="s">
        <v>44</v>
      </c>
      <c r="K41" s="45">
        <f>I41+I43-I45</f>
        <v>66.374159453238519</v>
      </c>
      <c r="M41" s="236" t="s">
        <v>171</v>
      </c>
    </row>
    <row r="42" spans="2:13" x14ac:dyDescent="0.2">
      <c r="B42" s="41"/>
      <c r="C42" s="42"/>
      <c r="D42" s="3"/>
      <c r="E42" s="46" t="s">
        <v>66</v>
      </c>
      <c r="F42" s="3"/>
      <c r="G42" s="42"/>
      <c r="I42" s="46" t="s">
        <v>66</v>
      </c>
      <c r="K42" s="42"/>
      <c r="M42" s="245"/>
    </row>
    <row r="43" spans="2:13" x14ac:dyDescent="0.2">
      <c r="B43" s="41"/>
      <c r="C43" s="42" t="s">
        <v>102</v>
      </c>
      <c r="D43" s="3"/>
      <c r="E43" s="47">
        <f>G17</f>
        <v>59.655118335100561</v>
      </c>
      <c r="F43" s="3"/>
      <c r="G43" s="42"/>
      <c r="I43" s="47">
        <f>K17</f>
        <v>62.129804212851859</v>
      </c>
      <c r="K43" s="42"/>
      <c r="M43" s="245"/>
    </row>
    <row r="44" spans="2:13" x14ac:dyDescent="0.2">
      <c r="B44" s="41"/>
      <c r="C44" s="42"/>
      <c r="E44" s="46" t="s">
        <v>10</v>
      </c>
      <c r="G44" s="42"/>
      <c r="I44" s="46" t="s">
        <v>10</v>
      </c>
      <c r="J44" s="15"/>
      <c r="K44" s="42"/>
      <c r="M44" s="245"/>
    </row>
    <row r="45" spans="2:13" x14ac:dyDescent="0.2">
      <c r="B45" s="43"/>
      <c r="C45" s="38" t="s">
        <v>120</v>
      </c>
      <c r="E45" s="48">
        <f>G25</f>
        <v>44.20646447426526</v>
      </c>
      <c r="F45" s="14"/>
      <c r="G45" s="38"/>
      <c r="I45" s="48">
        <f>K25</f>
        <v>47.151995396059242</v>
      </c>
      <c r="J45" s="14"/>
      <c r="K45" s="38"/>
      <c r="M45" s="237"/>
    </row>
    <row r="46" spans="2:13" x14ac:dyDescent="0.2">
      <c r="E46" s="15"/>
      <c r="K46" s="15"/>
    </row>
    <row r="48" spans="2:13" x14ac:dyDescent="0.2">
      <c r="B48" s="240" t="s">
        <v>127</v>
      </c>
      <c r="C48" s="32" t="s">
        <v>53</v>
      </c>
      <c r="E48" s="34">
        <f>'P&amp;L'!D13</f>
        <v>198845</v>
      </c>
      <c r="F48" s="246" t="s">
        <v>44</v>
      </c>
      <c r="G48" s="36">
        <f>E48/E49</f>
        <v>1.6217682081396296</v>
      </c>
      <c r="I48" s="34">
        <f>'P&amp;L'!E13</f>
        <v>180141</v>
      </c>
      <c r="J48" s="246" t="s">
        <v>44</v>
      </c>
      <c r="K48" s="36">
        <f>I48/I49</f>
        <v>1.6949262578505397</v>
      </c>
      <c r="M48" s="236" t="s">
        <v>247</v>
      </c>
    </row>
    <row r="49" spans="2:13" x14ac:dyDescent="0.2">
      <c r="B49" s="241"/>
      <c r="C49" s="33" t="s">
        <v>75</v>
      </c>
      <c r="E49" s="37">
        <f>AVERAGE(BS!D32:E32)</f>
        <v>122610</v>
      </c>
      <c r="F49" s="247"/>
      <c r="G49" s="38"/>
      <c r="I49" s="37">
        <f>AVERAGE(BS!E32:F32)</f>
        <v>106282.5</v>
      </c>
      <c r="J49" s="247"/>
      <c r="K49" s="38"/>
      <c r="M49" s="237"/>
    </row>
  </sheetData>
  <mergeCells count="44">
    <mergeCell ref="J5:J6"/>
    <mergeCell ref="F48:F49"/>
    <mergeCell ref="F37:F38"/>
    <mergeCell ref="J17:J18"/>
    <mergeCell ref="J13:J14"/>
    <mergeCell ref="J9:J10"/>
    <mergeCell ref="J21:J22"/>
    <mergeCell ref="J25:J26"/>
    <mergeCell ref="J29:J30"/>
    <mergeCell ref="J33:J34"/>
    <mergeCell ref="J48:J49"/>
    <mergeCell ref="J37:J38"/>
    <mergeCell ref="F13:F14"/>
    <mergeCell ref="F9:F10"/>
    <mergeCell ref="F5:F6"/>
    <mergeCell ref="F33:F34"/>
    <mergeCell ref="F29:F30"/>
    <mergeCell ref="F25:F26"/>
    <mergeCell ref="F21:F22"/>
    <mergeCell ref="F17:F18"/>
    <mergeCell ref="B37:B38"/>
    <mergeCell ref="B48:B49"/>
    <mergeCell ref="M33:M34"/>
    <mergeCell ref="M37:M38"/>
    <mergeCell ref="B3:C3"/>
    <mergeCell ref="E3:G3"/>
    <mergeCell ref="I3:K3"/>
    <mergeCell ref="M5:M6"/>
    <mergeCell ref="B5:B6"/>
    <mergeCell ref="B29:B30"/>
    <mergeCell ref="B33:B34"/>
    <mergeCell ref="B9:B10"/>
    <mergeCell ref="B17:B18"/>
    <mergeCell ref="B25:B26"/>
    <mergeCell ref="B13:B14"/>
    <mergeCell ref="B21:B22"/>
    <mergeCell ref="M41:M45"/>
    <mergeCell ref="M48:M49"/>
    <mergeCell ref="M9:M10"/>
    <mergeCell ref="M25:M26"/>
    <mergeCell ref="M17:M18"/>
    <mergeCell ref="M21:M22"/>
    <mergeCell ref="M29:M30"/>
    <mergeCell ref="M13:M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8B12-B9AE-43E9-9C1E-28A8BA55349C}">
  <sheetPr>
    <tabColor theme="5" tint="0.59999389629810485"/>
  </sheetPr>
  <dimension ref="B3:M18"/>
  <sheetViews>
    <sheetView showGridLines="0" workbookViewId="0">
      <selection activeCell="E18" sqref="E18"/>
    </sheetView>
  </sheetViews>
  <sheetFormatPr defaultColWidth="8.85546875" defaultRowHeight="12" x14ac:dyDescent="0.2"/>
  <cols>
    <col min="1" max="1" width="2.7109375" style="3" customWidth="1"/>
    <col min="2" max="2" width="20.7109375" style="3" customWidth="1"/>
    <col min="3" max="3" width="33" style="3" customWidth="1"/>
    <col min="4" max="4" width="2.7109375" style="3" customWidth="1"/>
    <col min="5" max="5" width="8.5703125" style="3" customWidth="1"/>
    <col min="6" max="6" width="2.7109375" style="3" customWidth="1"/>
    <col min="7" max="7" width="6" style="3" customWidth="1"/>
    <col min="8" max="8" width="2.7109375" style="3" customWidth="1"/>
    <col min="9" max="9" width="8.5703125" style="3" customWidth="1"/>
    <col min="10" max="10" width="2.7109375" style="3" customWidth="1"/>
    <col min="11" max="11" width="5.85546875" style="3" customWidth="1"/>
    <col min="12" max="12" width="2.7109375" style="3" customWidth="1"/>
    <col min="13" max="13" width="41.140625" style="3" customWidth="1"/>
    <col min="14" max="16384" width="8.85546875" style="3"/>
  </cols>
  <sheetData>
    <row r="3" spans="2:13" s="59" customFormat="1" x14ac:dyDescent="0.25">
      <c r="B3" s="242" t="s">
        <v>104</v>
      </c>
      <c r="C3" s="243"/>
      <c r="D3" s="57"/>
      <c r="E3" s="242" t="s">
        <v>271</v>
      </c>
      <c r="F3" s="244"/>
      <c r="G3" s="243"/>
      <c r="H3" s="57"/>
      <c r="I3" s="242" t="s">
        <v>272</v>
      </c>
      <c r="J3" s="244"/>
      <c r="K3" s="243"/>
      <c r="L3" s="57"/>
      <c r="M3" s="58" t="s">
        <v>116</v>
      </c>
    </row>
    <row r="5" spans="2:13" ht="12" customHeight="1" x14ac:dyDescent="0.2">
      <c r="B5" s="240" t="s">
        <v>57</v>
      </c>
      <c r="C5" s="32" t="s">
        <v>58</v>
      </c>
      <c r="D5" s="15"/>
      <c r="E5" s="34">
        <f>BS!D22</f>
        <v>70907</v>
      </c>
      <c r="F5" s="246" t="s">
        <v>44</v>
      </c>
      <c r="G5" s="36">
        <f>E5/E6</f>
        <v>2.250872960446956</v>
      </c>
      <c r="I5" s="34">
        <f>BS!E22</f>
        <v>61001</v>
      </c>
      <c r="J5" s="246" t="s">
        <v>44</v>
      </c>
      <c r="K5" s="36">
        <f>I5/I6</f>
        <v>1.8897459727385377</v>
      </c>
      <c r="M5" s="238" t="s">
        <v>132</v>
      </c>
    </row>
    <row r="6" spans="2:13" x14ac:dyDescent="0.2">
      <c r="B6" s="241"/>
      <c r="C6" s="33" t="s">
        <v>59</v>
      </c>
      <c r="D6" s="15"/>
      <c r="E6" s="37">
        <f>BS!D45</f>
        <v>31502</v>
      </c>
      <c r="F6" s="247"/>
      <c r="G6" s="38"/>
      <c r="I6" s="37">
        <f>BS!E45</f>
        <v>32280</v>
      </c>
      <c r="J6" s="247"/>
      <c r="K6" s="38"/>
      <c r="M6" s="239"/>
    </row>
    <row r="9" spans="2:13" ht="12" customHeight="1" x14ac:dyDescent="0.2">
      <c r="B9" s="240" t="s">
        <v>60</v>
      </c>
      <c r="C9" s="32" t="s">
        <v>61</v>
      </c>
      <c r="D9" s="15"/>
      <c r="E9" s="50">
        <f>SUM(BS!D19:D21)</f>
        <v>45538</v>
      </c>
      <c r="F9" s="246" t="s">
        <v>44</v>
      </c>
      <c r="G9" s="36">
        <f>E9/E10</f>
        <v>1.4455590121262143</v>
      </c>
      <c r="I9" s="34">
        <f>SUM(BS!E19:E21)</f>
        <v>37243</v>
      </c>
      <c r="J9" s="246" t="s">
        <v>44</v>
      </c>
      <c r="K9" s="36">
        <f>I9/I10</f>
        <v>1.1537484510532838</v>
      </c>
      <c r="M9" s="238" t="s">
        <v>133</v>
      </c>
    </row>
    <row r="10" spans="2:13" x14ac:dyDescent="0.2">
      <c r="B10" s="241"/>
      <c r="C10" s="33" t="s">
        <v>59</v>
      </c>
      <c r="D10" s="15"/>
      <c r="E10" s="54">
        <f>BS!D45</f>
        <v>31502</v>
      </c>
      <c r="F10" s="247"/>
      <c r="G10" s="38"/>
      <c r="I10" s="37">
        <f>BS!E45</f>
        <v>32280</v>
      </c>
      <c r="J10" s="247"/>
      <c r="K10" s="38"/>
      <c r="M10" s="239"/>
    </row>
    <row r="13" spans="2:13" ht="12" customHeight="1" x14ac:dyDescent="0.2">
      <c r="B13" s="240" t="s">
        <v>62</v>
      </c>
      <c r="C13" s="32" t="s">
        <v>63</v>
      </c>
      <c r="D13" s="15"/>
      <c r="E13" s="50">
        <f>SUM(BS!D20:D21)</f>
        <v>19291</v>
      </c>
      <c r="F13" s="246" t="s">
        <v>44</v>
      </c>
      <c r="G13" s="36">
        <f>E13/E14</f>
        <v>0.61237381753539455</v>
      </c>
      <c r="I13" s="34">
        <f>SUM(BS!E20:E21)</f>
        <v>12626</v>
      </c>
      <c r="J13" s="246" t="s">
        <v>44</v>
      </c>
      <c r="K13" s="36">
        <f>I13/I14</f>
        <v>0.39114002478314747</v>
      </c>
      <c r="M13" s="238" t="s">
        <v>134</v>
      </c>
    </row>
    <row r="14" spans="2:13" x14ac:dyDescent="0.2">
      <c r="B14" s="241"/>
      <c r="C14" s="33" t="s">
        <v>59</v>
      </c>
      <c r="D14" s="15"/>
      <c r="E14" s="54">
        <f>BS!D45</f>
        <v>31502</v>
      </c>
      <c r="F14" s="247"/>
      <c r="G14" s="38"/>
      <c r="I14" s="37">
        <f>BS!E45</f>
        <v>32280</v>
      </c>
      <c r="J14" s="247"/>
      <c r="K14" s="38"/>
      <c r="M14" s="239"/>
    </row>
    <row r="17" spans="2:13" ht="12" customHeight="1" x14ac:dyDescent="0.2">
      <c r="B17" s="240" t="s">
        <v>64</v>
      </c>
      <c r="C17" s="32" t="s">
        <v>61</v>
      </c>
      <c r="D17" s="15"/>
      <c r="E17" s="50">
        <f>SUM(BS!D19:D21)</f>
        <v>45538</v>
      </c>
      <c r="F17" s="246" t="s">
        <v>44</v>
      </c>
      <c r="G17" s="36">
        <f>E17/E18</f>
        <v>94.282108296368563</v>
      </c>
      <c r="I17" s="34">
        <f>SUM(BS!E19:E21)</f>
        <v>37243</v>
      </c>
      <c r="J17" s="246" t="s">
        <v>44</v>
      </c>
      <c r="K17" s="36">
        <f>I17/I18</f>
        <v>84.148560144604573</v>
      </c>
      <c r="M17" s="238" t="s">
        <v>172</v>
      </c>
    </row>
    <row r="18" spans="2:13" x14ac:dyDescent="0.2">
      <c r="B18" s="241"/>
      <c r="C18" s="33" t="s">
        <v>65</v>
      </c>
      <c r="D18" s="15"/>
      <c r="E18" s="54">
        <f>-('P&amp;L'!D15+'P&amp;L'!D19+'P&amp;L'!D20+'P&amp;L'!D21)/365</f>
        <v>482.99726027397259</v>
      </c>
      <c r="F18" s="247"/>
      <c r="G18" s="38"/>
      <c r="I18" s="37">
        <f>-('P&amp;L'!E15+'P&amp;L'!E19+'P&amp;L'!E20+'P&amp;L'!E21)/365</f>
        <v>442.58630136986301</v>
      </c>
      <c r="J18" s="247"/>
      <c r="K18" s="38"/>
      <c r="M18" s="239"/>
    </row>
  </sheetData>
  <mergeCells count="19">
    <mergeCell ref="B3:C3"/>
    <mergeCell ref="E3:G3"/>
    <mergeCell ref="I3:K3"/>
    <mergeCell ref="B5:B6"/>
    <mergeCell ref="B9:B10"/>
    <mergeCell ref="J9:J10"/>
    <mergeCell ref="J5:J6"/>
    <mergeCell ref="F9:F10"/>
    <mergeCell ref="F5:F6"/>
    <mergeCell ref="B13:B14"/>
    <mergeCell ref="B17:B18"/>
    <mergeCell ref="M5:M6"/>
    <mergeCell ref="M9:M10"/>
    <mergeCell ref="M13:M14"/>
    <mergeCell ref="M17:M18"/>
    <mergeCell ref="J17:J18"/>
    <mergeCell ref="J13:J14"/>
    <mergeCell ref="F17:F18"/>
    <mergeCell ref="F13:F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489E-8A5E-431D-9C66-F4CCE2B7EE2E}">
  <sheetPr>
    <tabColor theme="5" tint="0.59999389629810485"/>
  </sheetPr>
  <dimension ref="B3:M26"/>
  <sheetViews>
    <sheetView showGridLines="0" topLeftCell="A13" zoomScaleNormal="100" workbookViewId="0"/>
  </sheetViews>
  <sheetFormatPr defaultColWidth="8.85546875" defaultRowHeight="12" x14ac:dyDescent="0.2"/>
  <cols>
    <col min="1" max="1" width="2.7109375" style="3" customWidth="1"/>
    <col min="2" max="2" width="22.42578125" style="3" customWidth="1"/>
    <col min="3" max="3" width="38.28515625" style="3" customWidth="1"/>
    <col min="4" max="4" width="2.7109375" style="3" customWidth="1"/>
    <col min="5" max="5" width="9.140625" style="3" customWidth="1"/>
    <col min="6" max="6" width="2.7109375" style="3" customWidth="1"/>
    <col min="7" max="7" width="5.7109375" style="13" customWidth="1"/>
    <col min="8" max="8" width="2.7109375" style="3" customWidth="1"/>
    <col min="9" max="9" width="8.7109375" style="3" customWidth="1"/>
    <col min="10" max="10" width="2.7109375" style="3" customWidth="1"/>
    <col min="11" max="11" width="6.28515625" style="3" customWidth="1"/>
    <col min="12" max="12" width="2.7109375" style="3" customWidth="1"/>
    <col min="13" max="13" width="24.28515625" style="3" customWidth="1"/>
    <col min="14" max="16384" width="8.85546875" style="3"/>
  </cols>
  <sheetData>
    <row r="3" spans="2:13" s="59" customFormat="1" ht="14.45" customHeight="1" x14ac:dyDescent="0.25">
      <c r="B3" s="242" t="s">
        <v>104</v>
      </c>
      <c r="C3" s="243"/>
      <c r="D3" s="57"/>
      <c r="E3" s="242" t="s">
        <v>271</v>
      </c>
      <c r="F3" s="244"/>
      <c r="G3" s="243"/>
      <c r="H3" s="57"/>
      <c r="I3" s="242" t="s">
        <v>272</v>
      </c>
      <c r="J3" s="244"/>
      <c r="K3" s="243"/>
      <c r="L3" s="57"/>
      <c r="M3" s="58" t="s">
        <v>116</v>
      </c>
    </row>
    <row r="5" spans="2:13" ht="12" customHeight="1" x14ac:dyDescent="0.2">
      <c r="B5" s="240" t="s">
        <v>68</v>
      </c>
      <c r="C5" s="32" t="s">
        <v>70</v>
      </c>
      <c r="D5" s="15"/>
      <c r="E5" s="34">
        <f>BS!D42+BS!D36</f>
        <v>29474</v>
      </c>
      <c r="F5" s="246" t="s">
        <v>44</v>
      </c>
      <c r="G5" s="55">
        <f>E5/E6</f>
        <v>0.2242426086824206</v>
      </c>
      <c r="I5" s="34">
        <f>BS!E42+BS!E36</f>
        <v>35016</v>
      </c>
      <c r="J5" s="246" t="s">
        <v>44</v>
      </c>
      <c r="K5" s="55">
        <f>I5/I6</f>
        <v>0.30774639222372607</v>
      </c>
      <c r="M5" s="236" t="s">
        <v>143</v>
      </c>
    </row>
    <row r="6" spans="2:13" x14ac:dyDescent="0.2">
      <c r="B6" s="241"/>
      <c r="C6" s="33" t="s">
        <v>71</v>
      </c>
      <c r="D6" s="15"/>
      <c r="E6" s="37">
        <f>BS!D32</f>
        <v>131438</v>
      </c>
      <c r="F6" s="247"/>
      <c r="G6" s="56"/>
      <c r="I6" s="37">
        <f>BS!E32</f>
        <v>113782</v>
      </c>
      <c r="J6" s="247"/>
      <c r="K6" s="56"/>
      <c r="M6" s="237"/>
    </row>
    <row r="7" spans="2:13" x14ac:dyDescent="0.2">
      <c r="D7" s="15"/>
      <c r="E7" s="10"/>
      <c r="F7" s="15"/>
      <c r="I7" s="10"/>
      <c r="J7" s="15"/>
      <c r="K7" s="13"/>
    </row>
    <row r="8" spans="2:13" x14ac:dyDescent="0.2">
      <c r="D8" s="15"/>
      <c r="E8" s="10"/>
      <c r="F8" s="15"/>
      <c r="I8" s="10"/>
      <c r="J8" s="15"/>
      <c r="K8" s="13"/>
    </row>
    <row r="9" spans="2:13" ht="12" customHeight="1" x14ac:dyDescent="0.2">
      <c r="B9" s="240" t="s">
        <v>69</v>
      </c>
      <c r="C9" s="32" t="s">
        <v>70</v>
      </c>
      <c r="D9" s="15"/>
      <c r="E9" s="50">
        <f>BS!D36+BS!D42</f>
        <v>29474</v>
      </c>
      <c r="F9" s="246" t="s">
        <v>44</v>
      </c>
      <c r="G9" s="55">
        <f>E9/E10</f>
        <v>0.18316843989261211</v>
      </c>
      <c r="I9" s="50">
        <f>BS!E36+BS!E42</f>
        <v>35016</v>
      </c>
      <c r="J9" s="246" t="s">
        <v>44</v>
      </c>
      <c r="K9" s="55">
        <f>I9/I10</f>
        <v>0.23532574362558636</v>
      </c>
      <c r="M9" s="236" t="s">
        <v>144</v>
      </c>
    </row>
    <row r="10" spans="2:13" x14ac:dyDescent="0.2">
      <c r="B10" s="241"/>
      <c r="C10" s="33" t="s">
        <v>72</v>
      </c>
      <c r="D10" s="15"/>
      <c r="E10" s="54">
        <f>BS!D36+BS!D42+BS!D32</f>
        <v>160912</v>
      </c>
      <c r="F10" s="247"/>
      <c r="G10" s="56"/>
      <c r="I10" s="54">
        <f>BS!E36+BS!E42+BS!E32</f>
        <v>148798</v>
      </c>
      <c r="J10" s="247"/>
      <c r="K10" s="56"/>
      <c r="M10" s="237"/>
    </row>
    <row r="11" spans="2:13" x14ac:dyDescent="0.2">
      <c r="K11" s="13"/>
    </row>
    <row r="12" spans="2:13" x14ac:dyDescent="0.2">
      <c r="K12" s="13"/>
    </row>
    <row r="13" spans="2:13" ht="12" customHeight="1" x14ac:dyDescent="0.2">
      <c r="B13" s="240" t="s">
        <v>74</v>
      </c>
      <c r="C13" s="32" t="s">
        <v>70</v>
      </c>
      <c r="D13" s="15"/>
      <c r="E13" s="50">
        <f>BS!D36+BS!D42</f>
        <v>29474</v>
      </c>
      <c r="F13" s="246" t="s">
        <v>44</v>
      </c>
      <c r="G13" s="55">
        <f>E13/E14</f>
        <v>0.16262324749918616</v>
      </c>
      <c r="I13" s="50">
        <f>BS!E36+BS!E42</f>
        <v>35016</v>
      </c>
      <c r="J13" s="246" t="s">
        <v>44</v>
      </c>
      <c r="K13" s="55">
        <f>I13/I14</f>
        <v>0.20809413442681404</v>
      </c>
      <c r="M13" s="236" t="s">
        <v>145</v>
      </c>
    </row>
    <row r="14" spans="2:13" x14ac:dyDescent="0.2">
      <c r="B14" s="241"/>
      <c r="C14" s="33" t="s">
        <v>73</v>
      </c>
      <c r="D14" s="15"/>
      <c r="E14" s="54">
        <f>BS!D23</f>
        <v>181241</v>
      </c>
      <c r="F14" s="247"/>
      <c r="G14" s="56"/>
      <c r="I14" s="54">
        <f>BS!E23</f>
        <v>168270</v>
      </c>
      <c r="J14" s="247"/>
      <c r="K14" s="56"/>
      <c r="M14" s="237"/>
    </row>
    <row r="15" spans="2:13" x14ac:dyDescent="0.2">
      <c r="K15" s="13"/>
    </row>
    <row r="16" spans="2:13" x14ac:dyDescent="0.2">
      <c r="K16" s="13"/>
    </row>
    <row r="17" spans="2:13" ht="12" customHeight="1" x14ac:dyDescent="0.2">
      <c r="B17" s="240" t="s">
        <v>279</v>
      </c>
      <c r="C17" s="32" t="s">
        <v>76</v>
      </c>
      <c r="D17" s="15"/>
      <c r="E17" s="50">
        <f>'P&amp;L'!D24</f>
        <v>22551.000000000004</v>
      </c>
      <c r="F17" s="246" t="s">
        <v>44</v>
      </c>
      <c r="G17" s="60">
        <f>E17/E18</f>
        <v>8.2755963302752313</v>
      </c>
      <c r="I17" s="50">
        <f>'P&amp;L'!E24</f>
        <v>18597.000000000004</v>
      </c>
      <c r="J17" s="246" t="s">
        <v>44</v>
      </c>
      <c r="K17" s="60">
        <f>I17/I18</f>
        <v>6.2155748663101615</v>
      </c>
      <c r="M17" s="236" t="s">
        <v>146</v>
      </c>
    </row>
    <row r="18" spans="2:13" x14ac:dyDescent="0.2">
      <c r="B18" s="241"/>
      <c r="C18" s="33" t="s">
        <v>77</v>
      </c>
      <c r="D18" s="15"/>
      <c r="E18" s="54">
        <f>-'P&amp;L'!D26</f>
        <v>2725</v>
      </c>
      <c r="F18" s="247"/>
      <c r="G18" s="56"/>
      <c r="I18" s="54">
        <f>-'P&amp;L'!E26</f>
        <v>2992</v>
      </c>
      <c r="J18" s="247"/>
      <c r="K18" s="56"/>
      <c r="M18" s="237"/>
    </row>
    <row r="19" spans="2:13" x14ac:dyDescent="0.2">
      <c r="K19" s="13"/>
    </row>
    <row r="20" spans="2:13" x14ac:dyDescent="0.2">
      <c r="K20" s="13"/>
    </row>
    <row r="21" spans="2:13" ht="12" customHeight="1" x14ac:dyDescent="0.2">
      <c r="B21" s="240" t="s">
        <v>280</v>
      </c>
      <c r="C21" s="32" t="s">
        <v>78</v>
      </c>
      <c r="D21" s="15"/>
      <c r="E21" s="50">
        <f>'P&amp;L'!D24-'P&amp;L'!D55</f>
        <v>24832.000000000004</v>
      </c>
      <c r="F21" s="246" t="s">
        <v>44</v>
      </c>
      <c r="G21" s="60">
        <f>E21/E22</f>
        <v>4.9604474630443471</v>
      </c>
      <c r="I21" s="50">
        <f>'P&amp;L'!E24-'P&amp;L'!E55</f>
        <v>21072.000000000004</v>
      </c>
      <c r="J21" s="246" t="s">
        <v>44</v>
      </c>
      <c r="K21" s="60">
        <f>I21/I22</f>
        <v>3.8543991220047564</v>
      </c>
      <c r="M21" s="236" t="s">
        <v>147</v>
      </c>
    </row>
    <row r="22" spans="2:13" x14ac:dyDescent="0.2">
      <c r="B22" s="241"/>
      <c r="C22" s="33" t="s">
        <v>79</v>
      </c>
      <c r="D22" s="15"/>
      <c r="E22" s="54">
        <f>-'P&amp;L'!D26-'P&amp;L'!D55</f>
        <v>5006</v>
      </c>
      <c r="F22" s="247"/>
      <c r="G22" s="56"/>
      <c r="I22" s="54">
        <f>-'P&amp;L'!E26-'P&amp;L'!E55</f>
        <v>5467</v>
      </c>
      <c r="J22" s="247"/>
      <c r="K22" s="56"/>
      <c r="M22" s="237"/>
    </row>
    <row r="24" spans="2:13" x14ac:dyDescent="0.2">
      <c r="K24" s="13"/>
    </row>
    <row r="25" spans="2:13" ht="12" customHeight="1" x14ac:dyDescent="0.2">
      <c r="B25" s="240" t="s">
        <v>281</v>
      </c>
      <c r="C25" s="32" t="s">
        <v>54</v>
      </c>
      <c r="D25" s="15"/>
      <c r="E25" s="50">
        <f>AVERAGE(BS!D23:E23)</f>
        <v>174755.5</v>
      </c>
      <c r="F25" s="246" t="s">
        <v>44</v>
      </c>
      <c r="G25" s="60">
        <f>E25/E26</f>
        <v>1.4252956528831253</v>
      </c>
      <c r="I25" s="50">
        <f>AVERAGE(BS!E23:F23)</f>
        <v>164911.5</v>
      </c>
      <c r="J25" s="246" t="s">
        <v>44</v>
      </c>
      <c r="K25" s="60">
        <f>I25/I26</f>
        <v>1.5516336179521557</v>
      </c>
      <c r="M25" s="236" t="s">
        <v>173</v>
      </c>
    </row>
    <row r="26" spans="2:13" x14ac:dyDescent="0.2">
      <c r="B26" s="241"/>
      <c r="C26" s="33" t="s">
        <v>75</v>
      </c>
      <c r="D26" s="15"/>
      <c r="E26" s="54">
        <f>AVERAGE(BS!D32:E32)</f>
        <v>122610</v>
      </c>
      <c r="F26" s="247"/>
      <c r="G26" s="56"/>
      <c r="I26" s="54">
        <f>AVERAGE(BS!E32:F32)</f>
        <v>106282.5</v>
      </c>
      <c r="J26" s="247"/>
      <c r="K26" s="56"/>
      <c r="M26" s="237"/>
    </row>
  </sheetData>
  <mergeCells count="27">
    <mergeCell ref="M5:M6"/>
    <mergeCell ref="M9:M10"/>
    <mergeCell ref="M13:M14"/>
    <mergeCell ref="M17:M18"/>
    <mergeCell ref="M21:M22"/>
    <mergeCell ref="M25:M26"/>
    <mergeCell ref="J21:J22"/>
    <mergeCell ref="J17:J18"/>
    <mergeCell ref="J25:J26"/>
    <mergeCell ref="J13:J14"/>
    <mergeCell ref="B13:B14"/>
    <mergeCell ref="F5:F6"/>
    <mergeCell ref="B25:B26"/>
    <mergeCell ref="B17:B18"/>
    <mergeCell ref="B21:B22"/>
    <mergeCell ref="F21:F22"/>
    <mergeCell ref="F17:F18"/>
    <mergeCell ref="F25:F26"/>
    <mergeCell ref="F13:F14"/>
    <mergeCell ref="F9:F10"/>
    <mergeCell ref="B3:C3"/>
    <mergeCell ref="E3:G3"/>
    <mergeCell ref="I3:K3"/>
    <mergeCell ref="B5:B6"/>
    <mergeCell ref="B9:B10"/>
    <mergeCell ref="J5:J6"/>
    <mergeCell ref="J9:J1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18DC2-2014-4AD5-A6A9-1A805ECD6EF3}">
  <sheetPr>
    <tabColor theme="5" tint="0.59999389629810485"/>
  </sheetPr>
  <dimension ref="B3:M34"/>
  <sheetViews>
    <sheetView showGridLines="0" workbookViewId="0">
      <selection activeCell="C18" sqref="C18"/>
    </sheetView>
  </sheetViews>
  <sheetFormatPr defaultColWidth="8.85546875" defaultRowHeight="12" x14ac:dyDescent="0.2"/>
  <cols>
    <col min="1" max="1" width="2.7109375" style="3" customWidth="1"/>
    <col min="2" max="2" width="31.140625" style="3" bestFit="1" customWidth="1"/>
    <col min="3" max="3" width="31.42578125" style="3" bestFit="1" customWidth="1"/>
    <col min="4" max="4" width="2.7109375" style="3" customWidth="1"/>
    <col min="5" max="5" width="8.85546875" style="3" customWidth="1"/>
    <col min="6" max="6" width="2.7109375" style="3" customWidth="1"/>
    <col min="7" max="7" width="6.85546875" style="3" customWidth="1"/>
    <col min="8" max="8" width="2.7109375" style="3" customWidth="1"/>
    <col min="9" max="9" width="8.28515625" style="3" customWidth="1"/>
    <col min="10" max="10" width="2.7109375" style="3" customWidth="1"/>
    <col min="11" max="11" width="7" style="3" customWidth="1"/>
    <col min="12" max="12" width="2.7109375" style="3" customWidth="1"/>
    <col min="13" max="13" width="33.28515625" style="63" customWidth="1"/>
    <col min="14" max="16384" width="8.85546875" style="3"/>
  </cols>
  <sheetData>
    <row r="3" spans="2:13" s="59" customFormat="1" x14ac:dyDescent="0.25">
      <c r="B3" s="242" t="s">
        <v>104</v>
      </c>
      <c r="C3" s="243"/>
      <c r="D3" s="57"/>
      <c r="E3" s="242" t="s">
        <v>271</v>
      </c>
      <c r="F3" s="244"/>
      <c r="G3" s="243"/>
      <c r="H3" s="57"/>
      <c r="I3" s="242" t="s">
        <v>272</v>
      </c>
      <c r="J3" s="244"/>
      <c r="K3" s="243"/>
      <c r="L3" s="57"/>
      <c r="M3" s="58" t="s">
        <v>116</v>
      </c>
    </row>
    <row r="4" spans="2:13" x14ac:dyDescent="0.2">
      <c r="D4" s="15"/>
      <c r="E4" s="10"/>
      <c r="F4" s="15"/>
      <c r="I4" s="10"/>
      <c r="J4" s="15"/>
    </row>
    <row r="5" spans="2:13" ht="12" customHeight="1" x14ac:dyDescent="0.2">
      <c r="B5" s="240" t="s">
        <v>174</v>
      </c>
      <c r="C5" s="32" t="s">
        <v>82</v>
      </c>
      <c r="D5" s="15"/>
      <c r="E5" s="50">
        <f>'P&amp;L'!D17</f>
        <v>48553.16</v>
      </c>
      <c r="F5" s="246" t="s">
        <v>44</v>
      </c>
      <c r="G5" s="61">
        <f>E5/E6</f>
        <v>0.24417591591440571</v>
      </c>
      <c r="I5" s="50">
        <f>'P&amp;L'!E17</f>
        <v>41525.160000000003</v>
      </c>
      <c r="J5" s="246" t="s">
        <v>44</v>
      </c>
      <c r="K5" s="61">
        <f>I5/I6</f>
        <v>0.23051476343530902</v>
      </c>
      <c r="M5" s="236" t="s">
        <v>151</v>
      </c>
    </row>
    <row r="6" spans="2:13" x14ac:dyDescent="0.2">
      <c r="B6" s="241"/>
      <c r="C6" s="33" t="s">
        <v>53</v>
      </c>
      <c r="D6" s="15"/>
      <c r="E6" s="54">
        <f>'P&amp;L'!D13</f>
        <v>198845</v>
      </c>
      <c r="F6" s="247"/>
      <c r="G6" s="38"/>
      <c r="I6" s="54">
        <f>'P&amp;L'!E13</f>
        <v>180141</v>
      </c>
      <c r="J6" s="247"/>
      <c r="K6" s="38"/>
      <c r="M6" s="237"/>
    </row>
    <row r="7" spans="2:13" x14ac:dyDescent="0.2">
      <c r="D7" s="15"/>
      <c r="E7" s="10"/>
      <c r="F7" s="15"/>
      <c r="I7" s="10"/>
      <c r="J7" s="15"/>
    </row>
    <row r="8" spans="2:13" x14ac:dyDescent="0.2">
      <c r="D8" s="15"/>
      <c r="E8" s="10"/>
      <c r="F8" s="15"/>
      <c r="I8" s="10"/>
      <c r="J8" s="15"/>
    </row>
    <row r="9" spans="2:13" ht="12" customHeight="1" x14ac:dyDescent="0.2">
      <c r="B9" s="240" t="s">
        <v>175</v>
      </c>
      <c r="C9" s="32" t="s">
        <v>152</v>
      </c>
      <c r="D9" s="15"/>
      <c r="E9" s="34">
        <f>'P&amp;L'!D24</f>
        <v>22551.000000000004</v>
      </c>
      <c r="F9" s="246" t="s">
        <v>44</v>
      </c>
      <c r="G9" s="61">
        <f>E9/E10</f>
        <v>0.11340994241746086</v>
      </c>
      <c r="I9" s="34">
        <f>'P&amp;L'!E24</f>
        <v>18597.000000000004</v>
      </c>
      <c r="J9" s="246" t="s">
        <v>44</v>
      </c>
      <c r="K9" s="61">
        <f>I9/I10</f>
        <v>0.1032357986244109</v>
      </c>
      <c r="M9" s="236" t="s">
        <v>153</v>
      </c>
    </row>
    <row r="10" spans="2:13" x14ac:dyDescent="0.2">
      <c r="B10" s="241"/>
      <c r="C10" s="33" t="s">
        <v>53</v>
      </c>
      <c r="D10" s="15"/>
      <c r="E10" s="37">
        <f>'P&amp;L'!D13</f>
        <v>198845</v>
      </c>
      <c r="F10" s="247"/>
      <c r="G10" s="38"/>
      <c r="I10" s="37">
        <f>'P&amp;L'!E13</f>
        <v>180141</v>
      </c>
      <c r="J10" s="247"/>
      <c r="K10" s="38"/>
      <c r="M10" s="237"/>
    </row>
    <row r="11" spans="2:13" x14ac:dyDescent="0.2">
      <c r="D11" s="15"/>
      <c r="E11" s="10"/>
      <c r="F11" s="15"/>
      <c r="I11" s="10"/>
      <c r="J11" s="15"/>
    </row>
    <row r="12" spans="2:13" x14ac:dyDescent="0.2">
      <c r="D12" s="15"/>
      <c r="E12" s="10"/>
      <c r="F12" s="15"/>
      <c r="I12" s="10"/>
      <c r="J12" s="15"/>
    </row>
    <row r="13" spans="2:13" ht="12" customHeight="1" x14ac:dyDescent="0.2">
      <c r="B13" s="240" t="s">
        <v>176</v>
      </c>
      <c r="C13" s="32" t="s">
        <v>83</v>
      </c>
      <c r="D13" s="15"/>
      <c r="E13" s="50">
        <f>'P&amp;L'!D28</f>
        <v>19826.000000000004</v>
      </c>
      <c r="F13" s="246" t="s">
        <v>44</v>
      </c>
      <c r="G13" s="61">
        <f>E13/E14</f>
        <v>9.9705801000779526E-2</v>
      </c>
      <c r="I13" s="50">
        <f>'P&amp;L'!E28</f>
        <v>15605.000000000004</v>
      </c>
      <c r="J13" s="246" t="s">
        <v>44</v>
      </c>
      <c r="K13" s="61">
        <f>I13/I14</f>
        <v>8.6626586951332588E-2</v>
      </c>
      <c r="M13" s="236" t="s">
        <v>154</v>
      </c>
    </row>
    <row r="14" spans="2:13" x14ac:dyDescent="0.2">
      <c r="B14" s="241"/>
      <c r="C14" s="33" t="s">
        <v>53</v>
      </c>
      <c r="D14" s="15"/>
      <c r="E14" s="37">
        <f>'P&amp;L'!D13</f>
        <v>198845</v>
      </c>
      <c r="F14" s="247"/>
      <c r="G14" s="38"/>
      <c r="I14" s="37">
        <f>'P&amp;L'!E13</f>
        <v>180141</v>
      </c>
      <c r="J14" s="247"/>
      <c r="K14" s="38"/>
      <c r="M14" s="237"/>
    </row>
    <row r="17" spans="2:13" x14ac:dyDescent="0.2">
      <c r="B17" s="240" t="s">
        <v>177</v>
      </c>
      <c r="C17" s="32" t="s">
        <v>81</v>
      </c>
      <c r="D17" s="15"/>
      <c r="E17" s="34">
        <f>'P&amp;L'!D32</f>
        <v>17698.000000000004</v>
      </c>
      <c r="F17" s="246" t="s">
        <v>44</v>
      </c>
      <c r="G17" s="61">
        <f>E17/E18</f>
        <v>8.9003998088963782E-2</v>
      </c>
      <c r="I17" s="34">
        <f>'P&amp;L'!E32</f>
        <v>13962.000000000004</v>
      </c>
      <c r="J17" s="246" t="s">
        <v>44</v>
      </c>
      <c r="K17" s="61">
        <f>I17/I18</f>
        <v>7.7505953669625482E-2</v>
      </c>
      <c r="M17" s="236" t="s">
        <v>150</v>
      </c>
    </row>
    <row r="18" spans="2:13" x14ac:dyDescent="0.2">
      <c r="B18" s="241"/>
      <c r="C18" s="33" t="s">
        <v>53</v>
      </c>
      <c r="D18" s="15"/>
      <c r="E18" s="37">
        <f>'P&amp;L'!D13</f>
        <v>198845</v>
      </c>
      <c r="F18" s="247"/>
      <c r="G18" s="38"/>
      <c r="I18" s="37">
        <f>'P&amp;L'!E13</f>
        <v>180141</v>
      </c>
      <c r="J18" s="247"/>
      <c r="K18" s="38"/>
      <c r="M18" s="237"/>
    </row>
    <row r="21" spans="2:13" ht="12" customHeight="1" x14ac:dyDescent="0.2">
      <c r="B21" s="240" t="s">
        <v>148</v>
      </c>
      <c r="C21" s="32" t="s">
        <v>81</v>
      </c>
      <c r="D21" s="15"/>
      <c r="E21" s="50">
        <f>'P&amp;L'!D32</f>
        <v>17698.000000000004</v>
      </c>
      <c r="F21" s="246" t="s">
        <v>44</v>
      </c>
      <c r="G21" s="61">
        <f>E21/E22</f>
        <v>0.10127292131005892</v>
      </c>
      <c r="I21" s="50">
        <f>'P&amp;L'!E32</f>
        <v>13962.000000000004</v>
      </c>
      <c r="J21" s="246" t="s">
        <v>44</v>
      </c>
      <c r="K21" s="61">
        <f>I21/I22</f>
        <v>8.4663592290410331E-2</v>
      </c>
      <c r="M21" s="236" t="s">
        <v>155</v>
      </c>
    </row>
    <row r="22" spans="2:13" x14ac:dyDescent="0.2">
      <c r="B22" s="241"/>
      <c r="C22" s="33" t="s">
        <v>54</v>
      </c>
      <c r="D22" s="15"/>
      <c r="E22" s="37">
        <f>AVERAGE(BS!D23:E23)</f>
        <v>174755.5</v>
      </c>
      <c r="F22" s="247"/>
      <c r="G22" s="38"/>
      <c r="I22" s="37">
        <f>AVERAGE(BS!E23:F23)</f>
        <v>164911.5</v>
      </c>
      <c r="J22" s="247"/>
      <c r="K22" s="38"/>
      <c r="M22" s="237"/>
    </row>
    <row r="23" spans="2:13" x14ac:dyDescent="0.2">
      <c r="B23" s="52"/>
      <c r="C23" s="15"/>
      <c r="D23" s="15"/>
      <c r="E23" s="10"/>
      <c r="F23" s="63"/>
      <c r="I23" s="10"/>
      <c r="J23" s="63"/>
      <c r="M23" s="7"/>
    </row>
    <row r="25" spans="2:13" ht="12" customHeight="1" x14ac:dyDescent="0.2">
      <c r="B25" s="240" t="s">
        <v>149</v>
      </c>
      <c r="C25" s="32" t="s">
        <v>178</v>
      </c>
      <c r="D25" s="15"/>
      <c r="E25" s="50">
        <f>'P&amp;L'!D24</f>
        <v>22551.000000000004</v>
      </c>
      <c r="F25" s="246" t="s">
        <v>44</v>
      </c>
      <c r="G25" s="61">
        <f>E25/E26</f>
        <v>0.1290431488565453</v>
      </c>
      <c r="I25" s="50">
        <f>'P&amp;L'!E24</f>
        <v>18597.000000000004</v>
      </c>
      <c r="J25" s="246" t="s">
        <v>44</v>
      </c>
      <c r="K25" s="61">
        <f>I25/I26</f>
        <v>0.11276957640916493</v>
      </c>
      <c r="M25" s="236" t="s">
        <v>156</v>
      </c>
    </row>
    <row r="26" spans="2:13" x14ac:dyDescent="0.2">
      <c r="B26" s="241"/>
      <c r="C26" s="33" t="s">
        <v>54</v>
      </c>
      <c r="D26" s="15"/>
      <c r="E26" s="37">
        <f>E22</f>
        <v>174755.5</v>
      </c>
      <c r="F26" s="247"/>
      <c r="G26" s="38"/>
      <c r="I26" s="37">
        <f>I22</f>
        <v>164911.5</v>
      </c>
      <c r="J26" s="247"/>
      <c r="K26" s="38"/>
      <c r="M26" s="237"/>
    </row>
    <row r="29" spans="2:13" ht="12" customHeight="1" x14ac:dyDescent="0.2">
      <c r="B29" s="240" t="s">
        <v>157</v>
      </c>
      <c r="C29" s="32" t="s">
        <v>178</v>
      </c>
      <c r="D29" s="15"/>
      <c r="E29" s="50">
        <f>E25</f>
        <v>22551.000000000004</v>
      </c>
      <c r="F29" s="246" t="s">
        <v>44</v>
      </c>
      <c r="G29" s="61">
        <f>E29/E30</f>
        <v>0.14562655387297796</v>
      </c>
      <c r="I29" s="50">
        <f>I25</f>
        <v>18597.000000000004</v>
      </c>
      <c r="J29" s="246" t="s">
        <v>44</v>
      </c>
      <c r="K29" s="61">
        <f>I29/I30</f>
        <v>0.1276687765161397</v>
      </c>
      <c r="M29" s="236" t="s">
        <v>158</v>
      </c>
    </row>
    <row r="30" spans="2:13" x14ac:dyDescent="0.2">
      <c r="B30" s="241"/>
      <c r="C30" s="33" t="s">
        <v>85</v>
      </c>
      <c r="D30" s="15"/>
      <c r="E30" s="37">
        <f>AVERAGE(BS!D32:E32)+AVERAGE(BS!D36:E36)+AVERAGE(BS!D42:E42)</f>
        <v>154855</v>
      </c>
      <c r="F30" s="247"/>
      <c r="G30" s="38"/>
      <c r="I30" s="37">
        <f>AVERAGE(BS!E32:F32)+AVERAGE(BS!E36:F36)+AVERAGE(BS!E42:F42)</f>
        <v>145666</v>
      </c>
      <c r="J30" s="247"/>
      <c r="K30" s="38"/>
      <c r="M30" s="237"/>
    </row>
    <row r="33" spans="2:13" ht="12" customHeight="1" x14ac:dyDescent="0.2">
      <c r="B33" s="240" t="s">
        <v>167</v>
      </c>
      <c r="C33" s="32" t="s">
        <v>81</v>
      </c>
      <c r="E33" s="50">
        <f>'P&amp;L'!D32</f>
        <v>17698.000000000004</v>
      </c>
      <c r="F33" s="246" t="s">
        <v>44</v>
      </c>
      <c r="G33" s="61">
        <f>E33/E34</f>
        <v>0.14434385449800183</v>
      </c>
      <c r="I33" s="50">
        <f>'P&amp;L'!E32</f>
        <v>13962.000000000004</v>
      </c>
      <c r="J33" s="246" t="s">
        <v>44</v>
      </c>
      <c r="K33" s="61">
        <f>I33/I34</f>
        <v>0.13136687601439562</v>
      </c>
      <c r="M33" s="236" t="s">
        <v>159</v>
      </c>
    </row>
    <row r="34" spans="2:13" x14ac:dyDescent="0.2">
      <c r="B34" s="241"/>
      <c r="C34" s="33" t="s">
        <v>95</v>
      </c>
      <c r="E34" s="37">
        <f>AVERAGE(BS!D32:E32)</f>
        <v>122610</v>
      </c>
      <c r="F34" s="247"/>
      <c r="G34" s="38"/>
      <c r="I34" s="37">
        <f>AVERAGE(BS!E32:F32)</f>
        <v>106282.5</v>
      </c>
      <c r="J34" s="247"/>
      <c r="K34" s="38"/>
      <c r="M34" s="237"/>
    </row>
  </sheetData>
  <mergeCells count="35">
    <mergeCell ref="J33:J34"/>
    <mergeCell ref="F33:F34"/>
    <mergeCell ref="F9:F10"/>
    <mergeCell ref="F5:F6"/>
    <mergeCell ref="F17:F18"/>
    <mergeCell ref="J29:J30"/>
    <mergeCell ref="J25:J26"/>
    <mergeCell ref="J21:J22"/>
    <mergeCell ref="J13:J14"/>
    <mergeCell ref="J9:J10"/>
    <mergeCell ref="J5:J6"/>
    <mergeCell ref="J17:J18"/>
    <mergeCell ref="B21:B22"/>
    <mergeCell ref="B25:B26"/>
    <mergeCell ref="B29:B30"/>
    <mergeCell ref="B33:B34"/>
    <mergeCell ref="F29:F30"/>
    <mergeCell ref="F25:F26"/>
    <mergeCell ref="F21:F22"/>
    <mergeCell ref="B3:C3"/>
    <mergeCell ref="E3:G3"/>
    <mergeCell ref="I3:K3"/>
    <mergeCell ref="B17:B18"/>
    <mergeCell ref="B5:B6"/>
    <mergeCell ref="B9:B10"/>
    <mergeCell ref="B13:B14"/>
    <mergeCell ref="F13:F14"/>
    <mergeCell ref="M25:M26"/>
    <mergeCell ref="M29:M30"/>
    <mergeCell ref="M33:M34"/>
    <mergeCell ref="M17:M18"/>
    <mergeCell ref="M5:M6"/>
    <mergeCell ref="M9:M10"/>
    <mergeCell ref="M13:M14"/>
    <mergeCell ref="M21:M2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ACAF-3540-4EA8-9B8E-29654873557F}">
  <sheetPr>
    <tabColor theme="5" tint="0.59999389629810485"/>
  </sheetPr>
  <dimension ref="B3:O29"/>
  <sheetViews>
    <sheetView showGridLines="0" tabSelected="1" topLeftCell="A4" workbookViewId="0">
      <selection activeCell="C37" sqref="C37"/>
    </sheetView>
  </sheetViews>
  <sheetFormatPr defaultColWidth="8.85546875" defaultRowHeight="12" x14ac:dyDescent="0.2"/>
  <cols>
    <col min="1" max="1" width="2.7109375" style="3" customWidth="1"/>
    <col min="2" max="2" width="25.5703125" style="3" customWidth="1"/>
    <col min="3" max="3" width="30.28515625" style="3" bestFit="1" customWidth="1"/>
    <col min="4" max="4" width="2.7109375" style="3" customWidth="1"/>
    <col min="5" max="5" width="9.85546875" style="3" bestFit="1" customWidth="1"/>
    <col min="6" max="6" width="2.7109375" style="3" customWidth="1"/>
    <col min="7" max="7" width="6.28515625" style="3" customWidth="1"/>
    <col min="8" max="8" width="2.7109375" style="3" customWidth="1"/>
    <col min="9" max="9" width="9.85546875" style="3" bestFit="1" customWidth="1"/>
    <col min="10" max="10" width="2.7109375" style="3" customWidth="1"/>
    <col min="11" max="11" width="6.5703125" style="3" customWidth="1"/>
    <col min="12" max="12" width="2.7109375" style="3" customWidth="1"/>
    <col min="13" max="13" width="37.5703125" style="3" bestFit="1" customWidth="1"/>
    <col min="14" max="16384" width="8.85546875" style="3"/>
  </cols>
  <sheetData>
    <row r="3" spans="2:13" x14ac:dyDescent="0.2">
      <c r="B3" s="242" t="s">
        <v>104</v>
      </c>
      <c r="C3" s="243"/>
      <c r="D3" s="57"/>
      <c r="E3" s="242" t="s">
        <v>271</v>
      </c>
      <c r="F3" s="244"/>
      <c r="G3" s="243"/>
      <c r="H3" s="57"/>
      <c r="I3" s="242" t="s">
        <v>272</v>
      </c>
      <c r="J3" s="244"/>
      <c r="K3" s="243"/>
      <c r="L3" s="57"/>
      <c r="M3" s="58" t="s">
        <v>116</v>
      </c>
    </row>
    <row r="4" spans="2:13" x14ac:dyDescent="0.2">
      <c r="D4" s="15"/>
      <c r="E4" s="10"/>
      <c r="F4" s="15"/>
      <c r="I4" s="10"/>
      <c r="J4" s="15"/>
      <c r="M4" s="63"/>
    </row>
    <row r="5" spans="2:13" x14ac:dyDescent="0.2">
      <c r="B5" s="240" t="s">
        <v>180</v>
      </c>
      <c r="C5" s="32" t="s">
        <v>183</v>
      </c>
      <c r="D5" s="15"/>
      <c r="E5" s="50">
        <f>'P&amp;L'!D32</f>
        <v>17698.000000000004</v>
      </c>
      <c r="F5" s="246" t="s">
        <v>44</v>
      </c>
      <c r="G5" s="60">
        <f>E5/E6</f>
        <v>1.7698000000000003</v>
      </c>
      <c r="I5" s="50">
        <f>'P&amp;L'!E32</f>
        <v>13962.000000000004</v>
      </c>
      <c r="J5" s="246" t="s">
        <v>44</v>
      </c>
      <c r="K5" s="60">
        <f>I5/I6</f>
        <v>1.3962000000000003</v>
      </c>
      <c r="M5" s="236" t="s">
        <v>181</v>
      </c>
    </row>
    <row r="6" spans="2:13" x14ac:dyDescent="0.2">
      <c r="B6" s="241"/>
      <c r="C6" s="33" t="s">
        <v>182</v>
      </c>
      <c r="D6" s="15"/>
      <c r="E6" s="54">
        <f>'P&amp;L'!D50</f>
        <v>10000</v>
      </c>
      <c r="F6" s="247"/>
      <c r="G6" s="38"/>
      <c r="I6" s="54">
        <f>'P&amp;L'!E50</f>
        <v>10000</v>
      </c>
      <c r="J6" s="247"/>
      <c r="K6" s="38"/>
      <c r="M6" s="237"/>
    </row>
    <row r="9" spans="2:13" x14ac:dyDescent="0.2">
      <c r="B9" s="240" t="s">
        <v>186</v>
      </c>
      <c r="C9" s="32" t="s">
        <v>187</v>
      </c>
      <c r="E9" s="101">
        <f>'P&amp;L'!D53</f>
        <v>2.95</v>
      </c>
      <c r="F9" s="246" t="s">
        <v>44</v>
      </c>
      <c r="G9" s="60">
        <f>E9/E10</f>
        <v>1.6668550118657475</v>
      </c>
      <c r="I9" s="175">
        <f>'P&amp;L'!E53</f>
        <v>2.15</v>
      </c>
      <c r="J9" s="246" t="s">
        <v>44</v>
      </c>
      <c r="K9" s="176">
        <f>I9/I10</f>
        <v>1.5398939979945563</v>
      </c>
      <c r="M9" s="236" t="s">
        <v>190</v>
      </c>
    </row>
    <row r="10" spans="2:13" x14ac:dyDescent="0.2">
      <c r="B10" s="241"/>
      <c r="C10" s="33" t="s">
        <v>188</v>
      </c>
      <c r="E10" s="102">
        <f>G5</f>
        <v>1.7698000000000003</v>
      </c>
      <c r="F10" s="247"/>
      <c r="G10" s="38"/>
      <c r="I10" s="177">
        <f>K5</f>
        <v>1.3962000000000003</v>
      </c>
      <c r="J10" s="247"/>
      <c r="K10" s="38"/>
      <c r="M10" s="237"/>
    </row>
    <row r="13" spans="2:13" x14ac:dyDescent="0.2">
      <c r="B13" s="240" t="s">
        <v>193</v>
      </c>
      <c r="C13" s="32" t="s">
        <v>191</v>
      </c>
      <c r="E13" s="104">
        <f>'P&amp;L'!D54</f>
        <v>29500</v>
      </c>
      <c r="F13" s="246" t="s">
        <v>44</v>
      </c>
      <c r="G13" s="60">
        <f>E13/E14</f>
        <v>1.6668550118657472</v>
      </c>
      <c r="I13" s="104">
        <f>'P&amp;L'!E54</f>
        <v>21500</v>
      </c>
      <c r="J13" s="246" t="s">
        <v>44</v>
      </c>
      <c r="K13" s="60">
        <f>I13/I14</f>
        <v>1.5398939979945563</v>
      </c>
      <c r="M13" s="236" t="s">
        <v>192</v>
      </c>
    </row>
    <row r="14" spans="2:13" x14ac:dyDescent="0.2">
      <c r="B14" s="241"/>
      <c r="C14" s="33" t="s">
        <v>96</v>
      </c>
      <c r="E14" s="105">
        <f>'P&amp;L'!D32</f>
        <v>17698.000000000004</v>
      </c>
      <c r="F14" s="247"/>
      <c r="G14" s="38"/>
      <c r="I14" s="105">
        <f>'P&amp;L'!E32</f>
        <v>13962.000000000004</v>
      </c>
      <c r="J14" s="247"/>
      <c r="K14" s="38"/>
      <c r="M14" s="237"/>
    </row>
    <row r="17" spans="2:15" x14ac:dyDescent="0.2">
      <c r="B17" s="240" t="s">
        <v>194</v>
      </c>
      <c r="C17" s="32" t="s">
        <v>199</v>
      </c>
      <c r="E17" s="101">
        <f>'P&amp;L'!D51</f>
        <v>0.88</v>
      </c>
      <c r="F17" s="246" t="s">
        <v>44</v>
      </c>
      <c r="G17" s="223">
        <f>E17/E18</f>
        <v>0.29830508474576267</v>
      </c>
      <c r="I17" s="101">
        <f>'P&amp;L'!E51</f>
        <v>0.65</v>
      </c>
      <c r="J17" s="246" t="s">
        <v>44</v>
      </c>
      <c r="K17" s="223">
        <f>I17/I18</f>
        <v>0.30232558139534887</v>
      </c>
      <c r="M17" s="236" t="s">
        <v>196</v>
      </c>
    </row>
    <row r="18" spans="2:15" x14ac:dyDescent="0.2">
      <c r="B18" s="241"/>
      <c r="C18" s="33" t="s">
        <v>195</v>
      </c>
      <c r="E18" s="102">
        <f>'P&amp;L'!D53</f>
        <v>2.95</v>
      </c>
      <c r="F18" s="247"/>
      <c r="G18" s="38"/>
      <c r="I18" s="102">
        <f>'P&amp;L'!E53</f>
        <v>2.15</v>
      </c>
      <c r="J18" s="247"/>
      <c r="K18" s="38"/>
      <c r="M18" s="237"/>
    </row>
    <row r="21" spans="2:15" x14ac:dyDescent="0.2">
      <c r="B21" s="240" t="s">
        <v>198</v>
      </c>
      <c r="C21" s="32" t="s">
        <v>200</v>
      </c>
      <c r="E21" s="34">
        <f>'P&amp;L'!D32-'P&amp;L'!D52</f>
        <v>8898.0000000000036</v>
      </c>
      <c r="F21" s="246" t="s">
        <v>44</v>
      </c>
      <c r="G21" s="55">
        <f>E21/E22</f>
        <v>0.50276867442648898</v>
      </c>
      <c r="I21" s="34">
        <f>'P&amp;L'!E32-'P&amp;L'!E52</f>
        <v>7462.0000000000036</v>
      </c>
      <c r="J21" s="246" t="s">
        <v>44</v>
      </c>
      <c r="K21" s="55">
        <f>I21/I22</f>
        <v>0.53445065176908768</v>
      </c>
      <c r="M21" s="236" t="s">
        <v>203</v>
      </c>
      <c r="O21" s="109"/>
    </row>
    <row r="22" spans="2:15" x14ac:dyDescent="0.2">
      <c r="B22" s="241"/>
      <c r="C22" s="33" t="s">
        <v>201</v>
      </c>
      <c r="E22" s="37">
        <f>'P&amp;L'!D32</f>
        <v>17698.000000000004</v>
      </c>
      <c r="F22" s="247"/>
      <c r="G22" s="38"/>
      <c r="I22" s="37">
        <f>'P&amp;L'!E32</f>
        <v>13962.000000000004</v>
      </c>
      <c r="J22" s="247"/>
      <c r="K22" s="38"/>
      <c r="M22" s="237"/>
    </row>
    <row r="25" spans="2:15" x14ac:dyDescent="0.2">
      <c r="B25" s="240" t="s">
        <v>204</v>
      </c>
      <c r="C25" s="32" t="s">
        <v>205</v>
      </c>
      <c r="E25" s="34">
        <f>'P&amp;L'!D52</f>
        <v>8800</v>
      </c>
      <c r="F25" s="246" t="s">
        <v>44</v>
      </c>
      <c r="G25" s="55">
        <f>E25/E26</f>
        <v>0.49723132557351102</v>
      </c>
      <c r="I25" s="34">
        <f>'P&amp;L'!E52</f>
        <v>6500</v>
      </c>
      <c r="J25" s="246" t="s">
        <v>44</v>
      </c>
      <c r="K25" s="55">
        <f>I25/I26</f>
        <v>0.46554934823091237</v>
      </c>
      <c r="M25" s="236" t="s">
        <v>206</v>
      </c>
    </row>
    <row r="26" spans="2:15" x14ac:dyDescent="0.2">
      <c r="B26" s="241"/>
      <c r="C26" s="33" t="s">
        <v>201</v>
      </c>
      <c r="E26" s="37">
        <f>'P&amp;L'!D32</f>
        <v>17698.000000000004</v>
      </c>
      <c r="F26" s="247"/>
      <c r="G26" s="38"/>
      <c r="I26" s="37">
        <f>'P&amp;L'!E32</f>
        <v>13962.000000000004</v>
      </c>
      <c r="J26" s="247"/>
      <c r="K26" s="38"/>
      <c r="M26" s="237"/>
    </row>
    <row r="29" spans="2:15" x14ac:dyDescent="0.2">
      <c r="B29" s="248" t="s">
        <v>207</v>
      </c>
      <c r="C29" s="249"/>
      <c r="E29" s="117"/>
      <c r="F29" s="118"/>
      <c r="G29" s="119">
        <f>G21*'Profitability ratios'!G33</f>
        <v>7.2571568387570382E-2</v>
      </c>
      <c r="I29" s="117"/>
      <c r="J29" s="118"/>
      <c r="K29" s="119">
        <f>K21*'Profitability ratios'!K33</f>
        <v>7.0209112506762664E-2</v>
      </c>
      <c r="M29" s="120" t="s">
        <v>208</v>
      </c>
    </row>
  </sheetData>
  <mergeCells count="28">
    <mergeCell ref="B29:C29"/>
    <mergeCell ref="B21:B22"/>
    <mergeCell ref="F21:F22"/>
    <mergeCell ref="J21:J22"/>
    <mergeCell ref="M21:M22"/>
    <mergeCell ref="B25:B26"/>
    <mergeCell ref="F25:F26"/>
    <mergeCell ref="J25:J26"/>
    <mergeCell ref="M25:M26"/>
    <mergeCell ref="B17:B18"/>
    <mergeCell ref="F17:F18"/>
    <mergeCell ref="J17:J18"/>
    <mergeCell ref="M17:M18"/>
    <mergeCell ref="M5:M6"/>
    <mergeCell ref="B9:B10"/>
    <mergeCell ref="F9:F10"/>
    <mergeCell ref="J9:J10"/>
    <mergeCell ref="M9:M10"/>
    <mergeCell ref="B13:B14"/>
    <mergeCell ref="F13:F14"/>
    <mergeCell ref="J13:J14"/>
    <mergeCell ref="M13:M14"/>
    <mergeCell ref="B3:C3"/>
    <mergeCell ref="E3:G3"/>
    <mergeCell ref="I3:K3"/>
    <mergeCell ref="B5:B6"/>
    <mergeCell ref="F5:F6"/>
    <mergeCell ref="J5:J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69CD-2700-4BB2-9216-6034F8E571E0}">
  <sheetPr>
    <tabColor theme="5" tint="-0.249977111117893"/>
  </sheetPr>
  <dimension ref="B1:I26"/>
  <sheetViews>
    <sheetView showGridLines="0" zoomScaleNormal="100" workbookViewId="0">
      <selection activeCell="L11" sqref="L11"/>
    </sheetView>
  </sheetViews>
  <sheetFormatPr defaultColWidth="8.85546875" defaultRowHeight="12" x14ac:dyDescent="0.2"/>
  <cols>
    <col min="1" max="1" width="2" style="3" customWidth="1"/>
    <col min="2" max="2" width="11.85546875" style="3" customWidth="1"/>
    <col min="3" max="3" width="21.28515625" style="3" bestFit="1" customWidth="1"/>
    <col min="4" max="4" width="11.7109375" style="3" bestFit="1" customWidth="1"/>
    <col min="5" max="5" width="13.140625" style="142" customWidth="1"/>
    <col min="6" max="6" width="20.28515625" style="142" bestFit="1" customWidth="1"/>
    <col min="7" max="7" width="15.140625" style="142" customWidth="1"/>
    <col min="8" max="16384" width="8.85546875" style="3"/>
  </cols>
  <sheetData>
    <row r="1" spans="2:7" ht="12.75" thickBot="1" x14ac:dyDescent="0.25"/>
    <row r="2" spans="2:7" ht="12.75" thickBot="1" x14ac:dyDescent="0.25">
      <c r="D2" s="253" t="s">
        <v>142</v>
      </c>
      <c r="E2" s="254"/>
    </row>
    <row r="3" spans="2:7" ht="12.75" thickBot="1" x14ac:dyDescent="0.25">
      <c r="B3" s="141" t="s">
        <v>220</v>
      </c>
      <c r="C3" s="141" t="s">
        <v>261</v>
      </c>
      <c r="D3" s="179" t="s">
        <v>93</v>
      </c>
      <c r="E3" s="180" t="s">
        <v>92</v>
      </c>
      <c r="F3" s="143" t="s">
        <v>265</v>
      </c>
      <c r="G3" s="143" t="s">
        <v>94</v>
      </c>
    </row>
    <row r="4" spans="2:7" x14ac:dyDescent="0.2">
      <c r="E4" s="144"/>
      <c r="F4" s="144"/>
      <c r="G4" s="144"/>
    </row>
    <row r="5" spans="2:7" x14ac:dyDescent="0.2">
      <c r="B5" s="255" t="s">
        <v>257</v>
      </c>
      <c r="C5" s="145" t="s">
        <v>253</v>
      </c>
      <c r="D5" s="164">
        <f>'Activity ratios'!K9</f>
        <v>51.396350636445895</v>
      </c>
      <c r="E5" s="164">
        <f>'Activity ratios'!G9</f>
        <v>46.682994292036511</v>
      </c>
      <c r="F5" s="155">
        <v>26.7</v>
      </c>
      <c r="G5" s="147">
        <v>31.2</v>
      </c>
    </row>
    <row r="6" spans="2:7" x14ac:dyDescent="0.2">
      <c r="B6" s="256"/>
      <c r="C6" s="41" t="s">
        <v>254</v>
      </c>
      <c r="D6" s="165">
        <f>'Activity ratios'!K17</f>
        <v>62.129804212851859</v>
      </c>
      <c r="E6" s="165">
        <f>'Activity ratios'!G17</f>
        <v>59.655118335100561</v>
      </c>
      <c r="F6" s="156">
        <f>365/6.93</f>
        <v>52.669552669552672</v>
      </c>
      <c r="G6" s="148">
        <v>50.3</v>
      </c>
    </row>
    <row r="7" spans="2:7" x14ac:dyDescent="0.2">
      <c r="B7" s="256"/>
      <c r="C7" s="41" t="s">
        <v>255</v>
      </c>
      <c r="D7" s="165">
        <f>'Activity ratios'!K25</f>
        <v>47.151995396059242</v>
      </c>
      <c r="E7" s="165">
        <f>'Activity ratios'!G25</f>
        <v>44.20646447426526</v>
      </c>
      <c r="F7" s="156">
        <v>48</v>
      </c>
      <c r="G7" s="148">
        <v>44.1</v>
      </c>
    </row>
    <row r="8" spans="2:7" x14ac:dyDescent="0.2">
      <c r="B8" s="256"/>
      <c r="C8" s="41" t="s">
        <v>256</v>
      </c>
      <c r="D8" s="165">
        <f>'Activity ratios'!K41</f>
        <v>66.374159453238519</v>
      </c>
      <c r="E8" s="165">
        <f>E5+E6-E7</f>
        <v>62.131648152871804</v>
      </c>
      <c r="F8" s="156">
        <f>F5+F6-F7</f>
        <v>31.369552669552675</v>
      </c>
      <c r="G8" s="148">
        <f>G5+G6-G7</f>
        <v>37.4</v>
      </c>
    </row>
    <row r="9" spans="2:7" x14ac:dyDescent="0.2">
      <c r="B9" s="257"/>
      <c r="C9" s="43" t="s">
        <v>89</v>
      </c>
      <c r="D9" s="178">
        <f>'Activity ratios'!K37</f>
        <v>1.0923495329312995</v>
      </c>
      <c r="E9" s="178">
        <f>'Activity ratios'!G37</f>
        <v>1.1378468774945567</v>
      </c>
      <c r="F9" s="157">
        <v>0.59</v>
      </c>
      <c r="G9" s="149">
        <v>1</v>
      </c>
    </row>
    <row r="10" spans="2:7" x14ac:dyDescent="0.2">
      <c r="D10" s="142"/>
      <c r="G10" s="144"/>
    </row>
    <row r="11" spans="2:7" x14ac:dyDescent="0.2">
      <c r="B11" s="250" t="s">
        <v>259</v>
      </c>
      <c r="C11" s="67" t="s">
        <v>88</v>
      </c>
      <c r="D11" s="164">
        <f>'Liquidity ratios'!K5</f>
        <v>1.8897459727385377</v>
      </c>
      <c r="E11" s="164">
        <f>'Liquidity ratios'!G5</f>
        <v>2.250872960446956</v>
      </c>
      <c r="F11" s="158">
        <v>0.75</v>
      </c>
      <c r="G11" s="150">
        <v>1.4</v>
      </c>
    </row>
    <row r="12" spans="2:7" x14ac:dyDescent="0.2">
      <c r="B12" s="251"/>
      <c r="C12" s="3" t="s">
        <v>258</v>
      </c>
      <c r="D12" s="165">
        <f>'Liquidity ratios'!K9</f>
        <v>1.1537484510532838</v>
      </c>
      <c r="E12" s="165">
        <f>'Liquidity ratios'!G9</f>
        <v>1.4455590121262143</v>
      </c>
      <c r="F12" s="156">
        <v>0.6</v>
      </c>
      <c r="G12" s="151">
        <v>1</v>
      </c>
    </row>
    <row r="13" spans="2:7" x14ac:dyDescent="0.2">
      <c r="B13" s="252"/>
      <c r="C13" s="49" t="s">
        <v>267</v>
      </c>
      <c r="D13" s="166">
        <f>'Liquidity ratios'!K13</f>
        <v>0.39114002478314747</v>
      </c>
      <c r="E13" s="166">
        <f>'Liquidity ratios'!G13</f>
        <v>0.61237381753539455</v>
      </c>
      <c r="F13" s="157">
        <v>0.4</v>
      </c>
      <c r="G13" s="152">
        <v>0.5</v>
      </c>
    </row>
    <row r="14" spans="2:7" x14ac:dyDescent="0.2">
      <c r="D14" s="142"/>
      <c r="G14" s="144"/>
    </row>
    <row r="15" spans="2:7" x14ac:dyDescent="0.2">
      <c r="B15" s="250" t="s">
        <v>269</v>
      </c>
      <c r="C15" s="67" t="s">
        <v>91</v>
      </c>
      <c r="D15" s="167">
        <f>'Solvency ratios'!K5</f>
        <v>0.30774639222372607</v>
      </c>
      <c r="E15" s="167">
        <f>'Solvency ratios'!G5</f>
        <v>0.2242426086824206</v>
      </c>
      <c r="F15" s="159">
        <v>0.63249999999999995</v>
      </c>
      <c r="G15" s="153">
        <v>0.55000000000000004</v>
      </c>
    </row>
    <row r="16" spans="2:7" x14ac:dyDescent="0.2">
      <c r="B16" s="251"/>
      <c r="C16" s="3" t="s">
        <v>266</v>
      </c>
      <c r="D16" s="168">
        <f>'Solvency ratios'!K9</f>
        <v>0.23532574362558636</v>
      </c>
      <c r="E16" s="168">
        <f>'Solvency ratios'!G9</f>
        <v>0.18316843989261211</v>
      </c>
      <c r="F16" s="160">
        <v>0.3</v>
      </c>
      <c r="G16" s="154">
        <v>0.28000000000000003</v>
      </c>
    </row>
    <row r="17" spans="2:9" x14ac:dyDescent="0.2">
      <c r="B17" s="252"/>
      <c r="C17" s="49" t="s">
        <v>268</v>
      </c>
      <c r="D17" s="166">
        <f>'Solvency ratios'!K25</f>
        <v>1.5516336179521557</v>
      </c>
      <c r="E17" s="166">
        <f>'Solvency ratios'!G25</f>
        <v>1.4252956528831253</v>
      </c>
      <c r="F17" s="157">
        <v>2.6829999999999998</v>
      </c>
      <c r="G17" s="152">
        <v>1.9</v>
      </c>
    </row>
    <row r="18" spans="2:9" x14ac:dyDescent="0.2">
      <c r="B18" s="7"/>
      <c r="D18" s="142"/>
      <c r="G18" s="144"/>
    </row>
    <row r="19" spans="2:9" x14ac:dyDescent="0.2">
      <c r="B19" s="250" t="s">
        <v>260</v>
      </c>
      <c r="C19" s="67" t="s">
        <v>225</v>
      </c>
      <c r="D19" s="169">
        <f>'Profitability ratios'!K5</f>
        <v>0.23051476343530902</v>
      </c>
      <c r="E19" s="169">
        <f>'Profitability ratios'!G5</f>
        <v>0.24417591591440571</v>
      </c>
      <c r="F19" s="161">
        <v>0.49769999999999998</v>
      </c>
      <c r="G19" s="172">
        <v>0.29499999999999998</v>
      </c>
    </row>
    <row r="20" spans="2:9" x14ac:dyDescent="0.2">
      <c r="B20" s="251"/>
      <c r="C20" s="3" t="s">
        <v>270</v>
      </c>
      <c r="D20" s="170">
        <f>'Profitability ratios'!K9</f>
        <v>0.1032357986244109</v>
      </c>
      <c r="E20" s="170">
        <f>'Profitability ratios'!G9</f>
        <v>0.11340994241746086</v>
      </c>
      <c r="F20" s="162">
        <v>9.7799999999999998E-2</v>
      </c>
      <c r="G20" s="173">
        <v>0.13200000000000001</v>
      </c>
    </row>
    <row r="21" spans="2:9" x14ac:dyDescent="0.2">
      <c r="B21" s="251"/>
      <c r="C21" s="3" t="s">
        <v>90</v>
      </c>
      <c r="D21" s="170">
        <f>'Profitability ratios'!K17</f>
        <v>7.7505953669625482E-2</v>
      </c>
      <c r="E21" s="170">
        <f>'Profitability ratios'!G17</f>
        <v>8.9003998088963782E-2</v>
      </c>
      <c r="F21" s="162">
        <v>6.54E-2</v>
      </c>
      <c r="G21" s="173">
        <v>9.8000000000000004E-2</v>
      </c>
    </row>
    <row r="22" spans="2:9" x14ac:dyDescent="0.2">
      <c r="B22" s="252"/>
      <c r="C22" s="49" t="s">
        <v>168</v>
      </c>
      <c r="D22" s="171">
        <f>'Profitability ratios'!K33</f>
        <v>0.13136687601439562</v>
      </c>
      <c r="E22" s="171">
        <f>'Profitability ratios'!G33</f>
        <v>0.14434385449800183</v>
      </c>
      <c r="F22" s="163">
        <v>0.104</v>
      </c>
      <c r="G22" s="174">
        <v>0.14399999999999999</v>
      </c>
      <c r="H22" s="128"/>
      <c r="I22" s="128"/>
    </row>
    <row r="23" spans="2:9" x14ac:dyDescent="0.2">
      <c r="D23" s="142"/>
      <c r="G23" s="144"/>
    </row>
    <row r="24" spans="2:9" x14ac:dyDescent="0.2">
      <c r="B24" s="250" t="s">
        <v>262</v>
      </c>
      <c r="C24" s="67" t="s">
        <v>263</v>
      </c>
      <c r="D24" s="164">
        <f>'Valuation ratios'!K5</f>
        <v>1.3962000000000003</v>
      </c>
      <c r="E24" s="164">
        <f>'Valuation ratios'!G5</f>
        <v>1.7698000000000003</v>
      </c>
      <c r="F24" s="158">
        <v>1.84</v>
      </c>
      <c r="G24" s="146">
        <v>1.83</v>
      </c>
    </row>
    <row r="25" spans="2:9" x14ac:dyDescent="0.2">
      <c r="B25" s="251"/>
      <c r="C25" s="3" t="s">
        <v>264</v>
      </c>
      <c r="D25" s="165">
        <f>'Valuation ratios'!K9</f>
        <v>1.5398939979945563</v>
      </c>
      <c r="E25" s="165">
        <f>'Valuation ratios'!G9</f>
        <v>1.6668550118657475</v>
      </c>
      <c r="F25" s="156">
        <v>62.15</v>
      </c>
      <c r="G25" s="151">
        <v>25.5</v>
      </c>
    </row>
    <row r="26" spans="2:9" x14ac:dyDescent="0.2">
      <c r="B26" s="252"/>
      <c r="C26" s="49" t="s">
        <v>187</v>
      </c>
      <c r="D26" s="178">
        <f>D24*D25</f>
        <v>2.15</v>
      </c>
      <c r="E26" s="178">
        <f>E24*E25</f>
        <v>2.95</v>
      </c>
      <c r="F26" s="157">
        <f>F24*F25</f>
        <v>114.35600000000001</v>
      </c>
      <c r="G26" s="152">
        <f>G24*G25</f>
        <v>46.664999999999999</v>
      </c>
    </row>
  </sheetData>
  <mergeCells count="6">
    <mergeCell ref="B24:B26"/>
    <mergeCell ref="D2:E2"/>
    <mergeCell ref="B5:B9"/>
    <mergeCell ref="B11:B13"/>
    <mergeCell ref="B19:B22"/>
    <mergeCell ref="B15:B17"/>
  </mergeCells>
  <hyperlinks>
    <hyperlink ref="B5:B9" location="'Activity ratios'!A1" display="Activity Ratios" xr:uid="{4BD70523-446C-4492-A027-4A2CA25F6BF5}"/>
    <hyperlink ref="B11:B13" location="'Liquidity ratios'!A1" display="Liquidity Ratios" xr:uid="{14082D57-5DA0-47C3-A314-42DD9499C30C}"/>
    <hyperlink ref="B15:B17" location="'Solvency ratios'!A1" display="Solvency ratios" xr:uid="{028BCEED-9EF4-45C7-9620-D5A2C80461F0}"/>
    <hyperlink ref="B19:B22" location="'Profitability ratios'!A1" display="Profitability Ratios" xr:uid="{A3040E6C-2FBD-48ED-AF88-B9FBA2417AFA}"/>
    <hyperlink ref="B24:B26" location="'Valuation ratios'!A1" display="Valuation Ratios" xr:uid="{EF4DBEA4-046D-417D-A16B-63F0C0EBE2FC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E334-9D58-4204-8362-03A4DE8E4D95}">
  <sheetPr>
    <tabColor theme="4" tint="0.59999389629810485"/>
  </sheetPr>
  <dimension ref="B2:T38"/>
  <sheetViews>
    <sheetView showGridLines="0" topLeftCell="A16" zoomScale="85" zoomScaleNormal="85" workbookViewId="0">
      <selection activeCell="U21" sqref="U21"/>
    </sheetView>
  </sheetViews>
  <sheetFormatPr defaultColWidth="8.85546875" defaultRowHeight="12" x14ac:dyDescent="0.2"/>
  <cols>
    <col min="1" max="1" width="2.7109375" style="3" customWidth="1"/>
    <col min="2" max="2" width="11.7109375" style="3" bestFit="1" customWidth="1"/>
    <col min="3" max="3" width="8.85546875" style="3"/>
    <col min="4" max="4" width="9.42578125" style="3" customWidth="1"/>
    <col min="5" max="5" width="8.85546875" style="3"/>
    <col min="6" max="6" width="10.7109375" style="3" bestFit="1" customWidth="1"/>
    <col min="7" max="7" width="8.5703125" style="3" customWidth="1"/>
    <col min="8" max="12" width="8.85546875" style="3"/>
    <col min="13" max="13" width="23.7109375" style="3" hidden="1" customWidth="1"/>
    <col min="14" max="14" width="13" style="3" hidden="1" customWidth="1"/>
    <col min="15" max="15" width="5.42578125" style="3" hidden="1" customWidth="1"/>
    <col min="16" max="16" width="16.140625" style="3" hidden="1" customWidth="1"/>
    <col min="17" max="17" width="2.7109375" style="3" hidden="1" customWidth="1"/>
    <col min="18" max="18" width="3.28515625" style="3" hidden="1" customWidth="1"/>
    <col min="19" max="19" width="8.85546875" style="3" hidden="1" customWidth="1"/>
    <col min="20" max="16384" width="8.85546875" style="3"/>
  </cols>
  <sheetData>
    <row r="2" spans="2:20" ht="36" x14ac:dyDescent="0.2">
      <c r="B2" s="137" t="s">
        <v>275</v>
      </c>
      <c r="D2" s="121" t="s">
        <v>230</v>
      </c>
      <c r="E2" s="121" t="s">
        <v>93</v>
      </c>
      <c r="F2" s="121" t="s">
        <v>92</v>
      </c>
    </row>
    <row r="3" spans="2:20" ht="12.75" thickBot="1" x14ac:dyDescent="0.25">
      <c r="B3" s="17" t="s">
        <v>86</v>
      </c>
      <c r="C3" s="18"/>
      <c r="D3" s="18" t="s">
        <v>130</v>
      </c>
      <c r="E3" s="18" t="s">
        <v>129</v>
      </c>
      <c r="F3" s="18" t="s">
        <v>128</v>
      </c>
      <c r="G3" s="18" t="s">
        <v>232</v>
      </c>
      <c r="H3" s="18" t="s">
        <v>233</v>
      </c>
      <c r="I3" s="18" t="s">
        <v>234</v>
      </c>
      <c r="J3" s="18" t="s">
        <v>237</v>
      </c>
      <c r="K3" s="18" t="s">
        <v>238</v>
      </c>
    </row>
    <row r="4" spans="2:20" x14ac:dyDescent="0.2">
      <c r="B4" s="6"/>
      <c r="C4" s="2"/>
      <c r="E4" s="5"/>
      <c r="F4" s="5"/>
      <c r="G4" s="129"/>
      <c r="H4" s="129"/>
      <c r="I4" s="129"/>
      <c r="J4" s="129"/>
      <c r="K4" s="129"/>
      <c r="M4" s="259" t="s">
        <v>284</v>
      </c>
      <c r="N4" s="14" t="s">
        <v>82</v>
      </c>
    </row>
    <row r="5" spans="2:20" x14ac:dyDescent="0.2">
      <c r="B5" s="6" t="s">
        <v>26</v>
      </c>
      <c r="C5" s="7"/>
      <c r="D5" s="122">
        <v>163196.3583746134</v>
      </c>
      <c r="E5" s="9">
        <f>'P&amp;L'!E13</f>
        <v>180141</v>
      </c>
      <c r="F5" s="9">
        <f>'P&amp;L'!D13</f>
        <v>198845</v>
      </c>
      <c r="G5" s="133">
        <f>-G7/(1-G11)</f>
        <v>216549.98386608242</v>
      </c>
      <c r="H5" s="133">
        <f t="shared" ref="H5:K5" si="0">-H7/(1-H11)</f>
        <v>235850.38471992547</v>
      </c>
      <c r="I5" s="133">
        <f t="shared" si="0"/>
        <v>256892.11423030161</v>
      </c>
      <c r="J5" s="133">
        <f t="shared" si="0"/>
        <v>279834.67634758091</v>
      </c>
      <c r="K5" s="133">
        <f t="shared" si="0"/>
        <v>304852.46269865491</v>
      </c>
      <c r="M5" s="259"/>
      <c r="N5" s="15" t="s">
        <v>53</v>
      </c>
    </row>
    <row r="6" spans="2:20" x14ac:dyDescent="0.2">
      <c r="B6" s="124" t="s">
        <v>231</v>
      </c>
      <c r="C6" s="125"/>
      <c r="D6" s="125"/>
      <c r="E6" s="127">
        <f>E5/D5-1</f>
        <v>0.10382977778517932</v>
      </c>
      <c r="F6" s="127">
        <f>F5/E5-1</f>
        <v>0.10382977778517932</v>
      </c>
      <c r="G6" s="136"/>
      <c r="H6" s="136"/>
      <c r="I6" s="136"/>
      <c r="J6" s="136"/>
      <c r="K6" s="136"/>
    </row>
    <row r="7" spans="2:20" x14ac:dyDescent="0.2">
      <c r="B7" s="126" t="s">
        <v>235</v>
      </c>
      <c r="D7" s="10">
        <v>-127846.93499597581</v>
      </c>
      <c r="E7" s="10">
        <f>'P&amp;L'!E15</f>
        <v>-138615.84</v>
      </c>
      <c r="F7" s="10">
        <f>'P&amp;L'!D15</f>
        <v>-150291.84</v>
      </c>
      <c r="G7" s="133">
        <f>F7*(1+G8)</f>
        <v>-162951.34214520938</v>
      </c>
      <c r="H7" s="133">
        <f t="shared" ref="H7:K7" si="1">G7*(1+H8)</f>
        <v>-176677.18957280111</v>
      </c>
      <c r="I7" s="133">
        <f t="shared" si="1"/>
        <v>-191559.20352915724</v>
      </c>
      <c r="J7" s="133">
        <f t="shared" si="1"/>
        <v>-207694.77115552983</v>
      </c>
      <c r="K7" s="133">
        <f t="shared" si="1"/>
        <v>-225189.48278453248</v>
      </c>
      <c r="M7" s="259" t="s">
        <v>284</v>
      </c>
      <c r="N7" s="14" t="s">
        <v>283</v>
      </c>
      <c r="P7" s="260" t="s">
        <v>285</v>
      </c>
      <c r="Q7" s="261" t="s">
        <v>44</v>
      </c>
      <c r="R7" s="261" t="s">
        <v>286</v>
      </c>
      <c r="S7" s="14" t="s">
        <v>235</v>
      </c>
    </row>
    <row r="8" spans="2:20" ht="11.45" customHeight="1" x14ac:dyDescent="0.2">
      <c r="B8" s="124" t="s">
        <v>231</v>
      </c>
      <c r="C8" s="125"/>
      <c r="D8" s="125"/>
      <c r="E8" s="127">
        <f>E7/D7-1</f>
        <v>8.4232797636980106E-2</v>
      </c>
      <c r="F8" s="127">
        <f>F7/E7-1</f>
        <v>8.4232797636980106E-2</v>
      </c>
      <c r="G8" s="134">
        <f>F8</f>
        <v>8.4232797636980106E-2</v>
      </c>
      <c r="H8" s="134">
        <f t="shared" ref="H8:K8" si="2">G8</f>
        <v>8.4232797636980106E-2</v>
      </c>
      <c r="I8" s="134">
        <f t="shared" si="2"/>
        <v>8.4232797636980106E-2</v>
      </c>
      <c r="J8" s="134">
        <f t="shared" si="2"/>
        <v>8.4232797636980106E-2</v>
      </c>
      <c r="K8" s="134">
        <f t="shared" si="2"/>
        <v>8.4232797636980106E-2</v>
      </c>
      <c r="M8" s="259"/>
      <c r="N8" s="15" t="s">
        <v>53</v>
      </c>
      <c r="P8" s="259"/>
      <c r="Q8" s="261"/>
      <c r="R8" s="261"/>
      <c r="S8" s="15" t="s">
        <v>53</v>
      </c>
    </row>
    <row r="9" spans="2:20" x14ac:dyDescent="0.2">
      <c r="B9" s="126" t="s">
        <v>39</v>
      </c>
      <c r="D9" s="123">
        <f>D5+D7</f>
        <v>35349.423378637584</v>
      </c>
      <c r="E9" s="123">
        <f t="shared" ref="E9:K9" si="3">E5+E7</f>
        <v>41525.160000000003</v>
      </c>
      <c r="F9" s="123">
        <f t="shared" si="3"/>
        <v>48553.16</v>
      </c>
      <c r="G9" s="135">
        <f t="shared" si="3"/>
        <v>53598.641720873042</v>
      </c>
      <c r="H9" s="135">
        <f t="shared" si="3"/>
        <v>59173.195147124352</v>
      </c>
      <c r="I9" s="135">
        <f t="shared" si="3"/>
        <v>65332.91070114437</v>
      </c>
      <c r="J9" s="135">
        <f t="shared" si="3"/>
        <v>72139.905192051083</v>
      </c>
      <c r="K9" s="135">
        <f t="shared" si="3"/>
        <v>79662.979914122436</v>
      </c>
    </row>
    <row r="10" spans="2:20" ht="14.45" customHeight="1" x14ac:dyDescent="0.2">
      <c r="B10" s="124" t="s">
        <v>231</v>
      </c>
      <c r="C10" s="125"/>
      <c r="D10" s="125"/>
      <c r="E10" s="127">
        <f>E9/D9-1</f>
        <v>0.17470544159129187</v>
      </c>
      <c r="F10" s="127">
        <f>F9/E9-1</f>
        <v>0.16924678917552627</v>
      </c>
      <c r="G10" s="136">
        <f t="shared" ref="G10:K10" si="4">G9/F9-1</f>
        <v>0.10391664972728942</v>
      </c>
      <c r="H10" s="136">
        <f t="shared" si="4"/>
        <v>0.10400549803635051</v>
      </c>
      <c r="I10" s="136">
        <f t="shared" si="4"/>
        <v>0.10409638247021991</v>
      </c>
      <c r="J10" s="136">
        <f t="shared" si="4"/>
        <v>0.1041893651737682</v>
      </c>
      <c r="K10" s="136">
        <f t="shared" si="4"/>
        <v>0.10428451079944456</v>
      </c>
      <c r="P10" s="240" t="s">
        <v>288</v>
      </c>
      <c r="Q10" s="246" t="s">
        <v>44</v>
      </c>
      <c r="R10" s="262" t="s">
        <v>235</v>
      </c>
      <c r="S10" s="263"/>
      <c r="T10" s="59"/>
    </row>
    <row r="11" spans="2:20" ht="14.45" customHeight="1" x14ac:dyDescent="0.2">
      <c r="B11" s="126" t="s">
        <v>225</v>
      </c>
      <c r="D11" s="231">
        <f>D9/D5</f>
        <v>0.21660669227369533</v>
      </c>
      <c r="E11" s="231">
        <f t="shared" ref="E11:F11" si="5">E9/E5</f>
        <v>0.23051476343530902</v>
      </c>
      <c r="F11" s="231">
        <f t="shared" si="5"/>
        <v>0.24417591591440571</v>
      </c>
      <c r="G11" s="131">
        <f>F11*(1+G12)</f>
        <v>0.24751164033343548</v>
      </c>
      <c r="H11" s="131">
        <f t="shared" ref="H11" si="6">G11*(1+H12)</f>
        <v>0.25089293459238188</v>
      </c>
      <c r="I11" s="131">
        <f t="shared" ref="I11" si="7">H11*(1+I12)</f>
        <v>0.25432042122777643</v>
      </c>
      <c r="J11" s="131">
        <f t="shared" ref="J11" si="8">I11*(1+J12)</f>
        <v>0.25779473128071717</v>
      </c>
      <c r="K11" s="131">
        <f t="shared" ref="K11" si="9">J11*(1+K12)</f>
        <v>0.26131650441305077</v>
      </c>
      <c r="P11" s="241"/>
      <c r="Q11" s="247"/>
      <c r="R11" s="247" t="s">
        <v>287</v>
      </c>
      <c r="S11" s="258"/>
      <c r="T11" s="59"/>
    </row>
    <row r="12" spans="2:20" x14ac:dyDescent="0.2">
      <c r="B12" s="124" t="s">
        <v>236</v>
      </c>
      <c r="E12" s="130">
        <f>E11-D11</f>
        <v>1.3908071161613689E-2</v>
      </c>
      <c r="F12" s="130">
        <f>F11-E11</f>
        <v>1.3661152479096689E-2</v>
      </c>
      <c r="G12" s="132">
        <f>F12</f>
        <v>1.3661152479096689E-2</v>
      </c>
      <c r="H12" s="132">
        <f t="shared" ref="H12:K12" si="10">G12</f>
        <v>1.3661152479096689E-2</v>
      </c>
      <c r="I12" s="132">
        <f t="shared" si="10"/>
        <v>1.3661152479096689E-2</v>
      </c>
      <c r="J12" s="132">
        <f t="shared" si="10"/>
        <v>1.3661152479096689E-2</v>
      </c>
      <c r="K12" s="132">
        <f t="shared" si="10"/>
        <v>1.3661152479096689E-2</v>
      </c>
    </row>
    <row r="15" spans="2:20" ht="36" x14ac:dyDescent="0.2">
      <c r="B15" s="138" t="s">
        <v>239</v>
      </c>
      <c r="D15" s="121" t="s">
        <v>230</v>
      </c>
      <c r="E15" s="121" t="s">
        <v>93</v>
      </c>
      <c r="F15" s="121" t="s">
        <v>92</v>
      </c>
    </row>
    <row r="16" spans="2:20" ht="12.75" thickBot="1" x14ac:dyDescent="0.25">
      <c r="B16" s="17" t="s">
        <v>86</v>
      </c>
      <c r="C16" s="18"/>
      <c r="D16" s="18" t="s">
        <v>130</v>
      </c>
      <c r="E16" s="18" t="s">
        <v>129</v>
      </c>
      <c r="F16" s="18" t="s">
        <v>128</v>
      </c>
      <c r="G16" s="18" t="s">
        <v>232</v>
      </c>
      <c r="H16" s="18" t="s">
        <v>233</v>
      </c>
      <c r="I16" s="18" t="s">
        <v>234</v>
      </c>
      <c r="J16" s="18" t="s">
        <v>237</v>
      </c>
      <c r="K16" s="18" t="s">
        <v>238</v>
      </c>
    </row>
    <row r="17" spans="2:11" x14ac:dyDescent="0.2">
      <c r="B17" s="6"/>
      <c r="C17" s="2"/>
      <c r="E17" s="5"/>
      <c r="F17" s="5"/>
      <c r="G17" s="129"/>
      <c r="H17" s="129"/>
      <c r="I17" s="129"/>
      <c r="J17" s="129"/>
      <c r="K17" s="129"/>
    </row>
    <row r="18" spans="2:11" x14ac:dyDescent="0.2">
      <c r="B18" s="6" t="s">
        <v>26</v>
      </c>
      <c r="C18" s="7"/>
      <c r="D18" s="122">
        <f>D5</f>
        <v>163196.3583746134</v>
      </c>
      <c r="E18" s="9">
        <f t="shared" ref="E18:F18" si="11">E5</f>
        <v>180141</v>
      </c>
      <c r="F18" s="9">
        <f t="shared" si="11"/>
        <v>198845</v>
      </c>
      <c r="G18" s="133">
        <f>-G20/(1-G24)</f>
        <v>215594.27064612528</v>
      </c>
      <c r="H18" s="133">
        <f>-H20/(1-H24)</f>
        <v>233754.37921715269</v>
      </c>
      <c r="I18" s="133">
        <f>-I20/(1-I24)</f>
        <v>253444.16453850901</v>
      </c>
      <c r="J18" s="133">
        <f>-J20/(1-J24)</f>
        <v>274792.47556235472</v>
      </c>
      <c r="K18" s="232">
        <f>-K20/(1-K24)</f>
        <v>297939.0145485634</v>
      </c>
    </row>
    <row r="19" spans="2:11" x14ac:dyDescent="0.2">
      <c r="B19" s="124" t="s">
        <v>231</v>
      </c>
      <c r="C19" s="125"/>
      <c r="D19" s="125"/>
      <c r="E19" s="127">
        <f t="shared" ref="E19:F19" si="12">E6</f>
        <v>0.10382977778517932</v>
      </c>
      <c r="F19" s="127">
        <f t="shared" si="12"/>
        <v>0.10382977778517932</v>
      </c>
      <c r="G19" s="136"/>
      <c r="H19" s="136"/>
      <c r="I19" s="136"/>
      <c r="J19" s="136"/>
      <c r="K19" s="136"/>
    </row>
    <row r="20" spans="2:11" x14ac:dyDescent="0.2">
      <c r="B20" s="126" t="s">
        <v>235</v>
      </c>
      <c r="D20" s="10">
        <f t="shared" ref="D20:F20" si="13">D7</f>
        <v>-127846.93499597581</v>
      </c>
      <c r="E20" s="10">
        <f t="shared" si="13"/>
        <v>-138615.84</v>
      </c>
      <c r="F20" s="10">
        <f t="shared" si="13"/>
        <v>-150291.84</v>
      </c>
      <c r="G20" s="133">
        <f>F20*(1+G21)</f>
        <v>-162951.34214520938</v>
      </c>
      <c r="H20" s="133">
        <f t="shared" ref="H20" si="14">G20*(1+H21)</f>
        <v>-176677.18957280111</v>
      </c>
      <c r="I20" s="133">
        <f t="shared" ref="I20" si="15">H20*(1+I21)</f>
        <v>-191559.20352915724</v>
      </c>
      <c r="J20" s="133">
        <f t="shared" ref="J20" si="16">I20*(1+J21)</f>
        <v>-207694.77115552983</v>
      </c>
      <c r="K20" s="133">
        <f t="shared" ref="K20" si="17">J20*(1+K21)</f>
        <v>-225189.48278453248</v>
      </c>
    </row>
    <row r="21" spans="2:11" x14ac:dyDescent="0.2">
      <c r="B21" s="124" t="s">
        <v>231</v>
      </c>
      <c r="C21" s="125"/>
      <c r="D21" s="125"/>
      <c r="E21" s="127">
        <f t="shared" ref="E21:F21" si="18">E8</f>
        <v>8.4232797636980106E-2</v>
      </c>
      <c r="F21" s="127">
        <f t="shared" si="18"/>
        <v>8.4232797636980106E-2</v>
      </c>
      <c r="G21" s="134">
        <f>F21</f>
        <v>8.4232797636980106E-2</v>
      </c>
      <c r="H21" s="134">
        <f t="shared" ref="H21:K21" si="19">G21</f>
        <v>8.4232797636980106E-2</v>
      </c>
      <c r="I21" s="134">
        <f t="shared" si="19"/>
        <v>8.4232797636980106E-2</v>
      </c>
      <c r="J21" s="134">
        <f t="shared" si="19"/>
        <v>8.4232797636980106E-2</v>
      </c>
      <c r="K21" s="134">
        <f t="shared" si="19"/>
        <v>8.4232797636980106E-2</v>
      </c>
    </row>
    <row r="22" spans="2:11" x14ac:dyDescent="0.2">
      <c r="B22" s="126" t="s">
        <v>39</v>
      </c>
      <c r="D22" s="123">
        <f t="shared" ref="D22:F22" si="20">D9</f>
        <v>35349.423378637584</v>
      </c>
      <c r="E22" s="123">
        <f t="shared" si="20"/>
        <v>41525.160000000003</v>
      </c>
      <c r="F22" s="123">
        <f t="shared" si="20"/>
        <v>48553.16</v>
      </c>
      <c r="G22" s="135">
        <f>G18+G20</f>
        <v>52642.928500915907</v>
      </c>
      <c r="H22" s="135">
        <f t="shared" ref="H22:K22" si="21">H18+H20</f>
        <v>57077.189644351572</v>
      </c>
      <c r="I22" s="135">
        <f t="shared" si="21"/>
        <v>61884.961009351769</v>
      </c>
      <c r="J22" s="135">
        <f t="shared" si="21"/>
        <v>67097.704406824894</v>
      </c>
      <c r="K22" s="135">
        <f t="shared" si="21"/>
        <v>72749.531764030922</v>
      </c>
    </row>
    <row r="23" spans="2:11" x14ac:dyDescent="0.2">
      <c r="B23" s="124" t="s">
        <v>231</v>
      </c>
      <c r="C23" s="125"/>
      <c r="D23" s="125"/>
      <c r="E23" s="127">
        <f t="shared" ref="E23:F23" si="22">E10</f>
        <v>0.17470544159129187</v>
      </c>
      <c r="F23" s="127">
        <f t="shared" si="22"/>
        <v>0.16924678917552627</v>
      </c>
      <c r="G23" s="136"/>
      <c r="H23" s="136"/>
      <c r="I23" s="136"/>
      <c r="J23" s="136"/>
      <c r="K23" s="136"/>
    </row>
    <row r="24" spans="2:11" x14ac:dyDescent="0.2">
      <c r="B24" s="126" t="s">
        <v>225</v>
      </c>
      <c r="D24" s="128">
        <f t="shared" ref="D24:F24" si="23">D11</f>
        <v>0.21660669227369533</v>
      </c>
      <c r="E24" s="128">
        <f t="shared" si="23"/>
        <v>0.23051476343530902</v>
      </c>
      <c r="F24" s="128">
        <f t="shared" si="23"/>
        <v>0.24417591591440571</v>
      </c>
      <c r="G24" s="131">
        <f>F24*(1+G25)</f>
        <v>0.24417591591440571</v>
      </c>
      <c r="H24" s="131">
        <f>G24*(1+H25)</f>
        <v>0.24417591591440571</v>
      </c>
      <c r="I24" s="131">
        <f>H24*(1+I25)</f>
        <v>0.24417591591440571</v>
      </c>
      <c r="J24" s="131">
        <f>I24*(1+J25)</f>
        <v>0.24417591591440571</v>
      </c>
      <c r="K24" s="233">
        <f>J24*(1+K25)</f>
        <v>0.24417591591440571</v>
      </c>
    </row>
    <row r="25" spans="2:11" x14ac:dyDescent="0.2">
      <c r="B25" s="124" t="s">
        <v>236</v>
      </c>
      <c r="E25" s="130">
        <f>E12</f>
        <v>1.3908071161613689E-2</v>
      </c>
      <c r="F25" s="130">
        <f>F12</f>
        <v>1.3661152479096689E-2</v>
      </c>
      <c r="G25" s="132">
        <v>0</v>
      </c>
      <c r="H25" s="132">
        <f>G25</f>
        <v>0</v>
      </c>
      <c r="I25" s="132">
        <f>H25</f>
        <v>0</v>
      </c>
      <c r="J25" s="132">
        <f>I25</f>
        <v>0</v>
      </c>
      <c r="K25" s="132">
        <f>J25</f>
        <v>0</v>
      </c>
    </row>
    <row r="28" spans="2:11" ht="36" x14ac:dyDescent="0.2">
      <c r="B28" s="139" t="s">
        <v>240</v>
      </c>
      <c r="D28" s="121" t="s">
        <v>230</v>
      </c>
      <c r="E28" s="121" t="s">
        <v>93</v>
      </c>
      <c r="F28" s="121" t="s">
        <v>92</v>
      </c>
    </row>
    <row r="29" spans="2:11" ht="12.75" thickBot="1" x14ac:dyDescent="0.25">
      <c r="B29" s="17" t="s">
        <v>86</v>
      </c>
      <c r="C29" s="18"/>
      <c r="D29" s="18" t="s">
        <v>130</v>
      </c>
      <c r="E29" s="18" t="s">
        <v>129</v>
      </c>
      <c r="F29" s="18" t="s">
        <v>128</v>
      </c>
      <c r="G29" s="18" t="s">
        <v>232</v>
      </c>
      <c r="H29" s="18" t="s">
        <v>233</v>
      </c>
      <c r="I29" s="18" t="s">
        <v>234</v>
      </c>
      <c r="J29" s="18" t="s">
        <v>237</v>
      </c>
      <c r="K29" s="18" t="s">
        <v>238</v>
      </c>
    </row>
    <row r="30" spans="2:11" x14ac:dyDescent="0.2">
      <c r="B30" s="6"/>
      <c r="C30" s="2"/>
      <c r="E30" s="5"/>
      <c r="F30" s="5"/>
      <c r="G30" s="129"/>
      <c r="H30" s="129"/>
      <c r="I30" s="129"/>
      <c r="J30" s="129"/>
      <c r="K30" s="129"/>
    </row>
    <row r="31" spans="2:11" x14ac:dyDescent="0.2">
      <c r="B31" s="6" t="s">
        <v>26</v>
      </c>
      <c r="C31" s="7"/>
      <c r="D31" s="122">
        <f>D18</f>
        <v>163196.3583746134</v>
      </c>
      <c r="E31" s="9">
        <f t="shared" ref="E31:F31" si="24">E18</f>
        <v>180141</v>
      </c>
      <c r="F31" s="9">
        <f t="shared" si="24"/>
        <v>198845</v>
      </c>
      <c r="G31" s="133">
        <f>-G33/(1-G37)</f>
        <v>219133.93217070081</v>
      </c>
      <c r="H31" s="133">
        <f>-H33/(1-H37)</f>
        <v>241759.91224773778</v>
      </c>
      <c r="I31" s="133">
        <f>-I33/(1-I37)</f>
        <v>267042.56047325738</v>
      </c>
      <c r="J31" s="133">
        <f>-J33/(1-J37)</f>
        <v>295355.50202315953</v>
      </c>
      <c r="K31" s="232">
        <f>-K33/(1-K37)</f>
        <v>327137.79588296841</v>
      </c>
    </row>
    <row r="32" spans="2:11" x14ac:dyDescent="0.2">
      <c r="B32" s="124" t="s">
        <v>231</v>
      </c>
      <c r="C32" s="125"/>
      <c r="D32" s="125"/>
      <c r="E32" s="127">
        <f t="shared" ref="E32:F32" si="25">E19</f>
        <v>0.10382977778517932</v>
      </c>
      <c r="F32" s="127">
        <f t="shared" si="25"/>
        <v>0.10382977778517932</v>
      </c>
      <c r="G32" s="136"/>
      <c r="H32" s="136"/>
      <c r="I32" s="136"/>
      <c r="J32" s="136"/>
      <c r="K32" s="136"/>
    </row>
    <row r="33" spans="2:11" x14ac:dyDescent="0.2">
      <c r="B33" s="126" t="s">
        <v>235</v>
      </c>
      <c r="D33" s="10">
        <f t="shared" ref="D33:F33" si="26">D20</f>
        <v>-127846.93499597581</v>
      </c>
      <c r="E33" s="10">
        <f t="shared" si="26"/>
        <v>-138615.84</v>
      </c>
      <c r="F33" s="10">
        <f t="shared" si="26"/>
        <v>-150291.84</v>
      </c>
      <c r="G33" s="133">
        <f>F33*(1+G34)</f>
        <v>-162951.34214520938</v>
      </c>
      <c r="H33" s="133">
        <f t="shared" ref="H33" si="27">G33*(1+H34)</f>
        <v>-176677.18957280111</v>
      </c>
      <c r="I33" s="133">
        <f t="shared" ref="I33" si="28">H33*(1+I34)</f>
        <v>-191559.20352915724</v>
      </c>
      <c r="J33" s="133">
        <f t="shared" ref="J33" si="29">I33*(1+J34)</f>
        <v>-207694.77115552983</v>
      </c>
      <c r="K33" s="133">
        <f t="shared" ref="K33" si="30">J33*(1+K34)</f>
        <v>-225189.48278453248</v>
      </c>
    </row>
    <row r="34" spans="2:11" x14ac:dyDescent="0.2">
      <c r="B34" s="124" t="s">
        <v>231</v>
      </c>
      <c r="C34" s="125"/>
      <c r="D34" s="125"/>
      <c r="E34" s="127">
        <f t="shared" ref="E34:F34" si="31">E21</f>
        <v>8.4232797636980106E-2</v>
      </c>
      <c r="F34" s="127">
        <f t="shared" si="31"/>
        <v>8.4232797636980106E-2</v>
      </c>
      <c r="G34" s="134">
        <f>F34</f>
        <v>8.4232797636980106E-2</v>
      </c>
      <c r="H34" s="134">
        <f t="shared" ref="H34:K34" si="32">G34</f>
        <v>8.4232797636980106E-2</v>
      </c>
      <c r="I34" s="134">
        <f t="shared" si="32"/>
        <v>8.4232797636980106E-2</v>
      </c>
      <c r="J34" s="134">
        <f t="shared" si="32"/>
        <v>8.4232797636980106E-2</v>
      </c>
      <c r="K34" s="134">
        <f t="shared" si="32"/>
        <v>8.4232797636980106E-2</v>
      </c>
    </row>
    <row r="35" spans="2:11" x14ac:dyDescent="0.2">
      <c r="B35" s="126" t="s">
        <v>39</v>
      </c>
      <c r="D35" s="123">
        <f t="shared" ref="D35:F35" si="33">D22</f>
        <v>35349.423378637584</v>
      </c>
      <c r="E35" s="123">
        <f t="shared" si="33"/>
        <v>41525.160000000003</v>
      </c>
      <c r="F35" s="123">
        <f t="shared" si="33"/>
        <v>48553.16</v>
      </c>
      <c r="G35" s="135">
        <f>G31+G33</f>
        <v>56182.59002549143</v>
      </c>
      <c r="H35" s="135">
        <f t="shared" ref="H35:K35" si="34">H31+H33</f>
        <v>65082.722674936667</v>
      </c>
      <c r="I35" s="135">
        <f t="shared" si="34"/>
        <v>75483.356944100145</v>
      </c>
      <c r="J35" s="135">
        <f t="shared" si="34"/>
        <v>87660.730867629696</v>
      </c>
      <c r="K35" s="135">
        <f t="shared" si="34"/>
        <v>101948.31309843593</v>
      </c>
    </row>
    <row r="36" spans="2:11" x14ac:dyDescent="0.2">
      <c r="B36" s="124" t="s">
        <v>231</v>
      </c>
      <c r="C36" s="125"/>
      <c r="D36" s="125"/>
      <c r="E36" s="127">
        <f t="shared" ref="E36:F36" si="35">E23</f>
        <v>0.17470544159129187</v>
      </c>
      <c r="F36" s="127">
        <f t="shared" si="35"/>
        <v>0.16924678917552627</v>
      </c>
      <c r="G36" s="136"/>
      <c r="H36" s="136"/>
      <c r="I36" s="136"/>
      <c r="J36" s="136"/>
      <c r="K36" s="136"/>
    </row>
    <row r="37" spans="2:11" x14ac:dyDescent="0.2">
      <c r="B37" s="126" t="s">
        <v>225</v>
      </c>
      <c r="D37" s="128">
        <f t="shared" ref="D37:F37" si="36">D24</f>
        <v>0.21660669227369533</v>
      </c>
      <c r="E37" s="128">
        <f t="shared" si="36"/>
        <v>0.23051476343530902</v>
      </c>
      <c r="F37" s="128">
        <f t="shared" si="36"/>
        <v>0.24417591591440571</v>
      </c>
      <c r="G37" s="131">
        <f>F37*(1+G38)</f>
        <v>0.256384711710126</v>
      </c>
      <c r="H37" s="131">
        <f t="shared" ref="H37" si="37">G37*(1+H38)</f>
        <v>0.2692039472956323</v>
      </c>
      <c r="I37" s="131">
        <f t="shared" ref="I37" si="38">H37*(1+I38)</f>
        <v>0.2826641446604139</v>
      </c>
      <c r="J37" s="131">
        <f t="shared" ref="J37" si="39">I37*(1+J38)</f>
        <v>0.29679735189343459</v>
      </c>
      <c r="K37" s="233">
        <f t="shared" ref="K37" si="40">J37*(1+K38)</f>
        <v>0.31163721948810635</v>
      </c>
    </row>
    <row r="38" spans="2:11" x14ac:dyDescent="0.2">
      <c r="B38" s="124" t="s">
        <v>236</v>
      </c>
      <c r="E38" s="130">
        <f>E25</f>
        <v>1.3908071161613689E-2</v>
      </c>
      <c r="F38" s="130">
        <f>F25</f>
        <v>1.3661152479096689E-2</v>
      </c>
      <c r="G38" s="132">
        <v>0.05</v>
      </c>
      <c r="H38" s="132">
        <f t="shared" ref="H38:K38" si="41">G38</f>
        <v>0.05</v>
      </c>
      <c r="I38" s="132">
        <f t="shared" si="41"/>
        <v>0.05</v>
      </c>
      <c r="J38" s="132">
        <f t="shared" si="41"/>
        <v>0.05</v>
      </c>
      <c r="K38" s="132">
        <f t="shared" si="41"/>
        <v>0.05</v>
      </c>
    </row>
  </sheetData>
  <mergeCells count="9">
    <mergeCell ref="R11:S11"/>
    <mergeCell ref="M4:M5"/>
    <mergeCell ref="M7:M8"/>
    <mergeCell ref="P7:P8"/>
    <mergeCell ref="R7:R8"/>
    <mergeCell ref="P10:P11"/>
    <mergeCell ref="Q7:Q8"/>
    <mergeCell ref="Q10:Q11"/>
    <mergeCell ref="R10:S10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C6F2-9189-408D-9669-FEEE1868FBD3}">
  <sheetPr>
    <tabColor theme="4" tint="0.59999389629810485"/>
  </sheetPr>
  <dimension ref="B3:M27"/>
  <sheetViews>
    <sheetView showGridLines="0" topLeftCell="A3" workbookViewId="0">
      <selection activeCell="K9" sqref="K9"/>
    </sheetView>
  </sheetViews>
  <sheetFormatPr defaultColWidth="8.85546875" defaultRowHeight="12" x14ac:dyDescent="0.2"/>
  <cols>
    <col min="1" max="1" width="2" style="3" customWidth="1"/>
    <col min="2" max="2" width="18.7109375" style="3" bestFit="1" customWidth="1"/>
    <col min="3" max="3" width="11.5703125" style="15" bestFit="1" customWidth="1"/>
    <col min="4" max="4" width="1.7109375" style="3" customWidth="1"/>
    <col min="5" max="5" width="13.85546875" style="15" bestFit="1" customWidth="1"/>
    <col min="6" max="6" width="1.7109375" style="3" customWidth="1"/>
    <col min="7" max="7" width="15.42578125" style="15" bestFit="1" customWidth="1"/>
    <col min="8" max="8" width="1.7109375" style="3" customWidth="1"/>
    <col min="9" max="9" width="19" style="15" bestFit="1" customWidth="1"/>
    <col min="10" max="10" width="1.7109375" style="3" customWidth="1"/>
    <col min="11" max="11" width="15.42578125" style="15" bestFit="1" customWidth="1"/>
    <col min="12" max="12" width="1.7109375" style="3" customWidth="1"/>
    <col min="13" max="13" width="19" style="15" bestFit="1" customWidth="1"/>
    <col min="14" max="14" width="2.7109375" style="3" customWidth="1"/>
    <col min="15" max="16384" width="8.85546875" style="3"/>
  </cols>
  <sheetData>
    <row r="3" spans="2:11" x14ac:dyDescent="0.2">
      <c r="B3" s="218" t="s">
        <v>276</v>
      </c>
      <c r="C3" s="93" t="s">
        <v>97</v>
      </c>
      <c r="D3" s="94" t="s">
        <v>44</v>
      </c>
      <c r="E3" s="94" t="s">
        <v>100</v>
      </c>
      <c r="F3" s="94" t="s">
        <v>98</v>
      </c>
      <c r="G3" s="95" t="s">
        <v>101</v>
      </c>
    </row>
    <row r="5" spans="2:11" x14ac:dyDescent="0.2">
      <c r="C5" s="64" t="s">
        <v>81</v>
      </c>
      <c r="D5" s="246" t="s">
        <v>44</v>
      </c>
      <c r="E5" s="65" t="s">
        <v>81</v>
      </c>
      <c r="F5" s="246" t="s">
        <v>98</v>
      </c>
      <c r="G5" s="32" t="s">
        <v>53</v>
      </c>
    </row>
    <row r="6" spans="2:11" x14ac:dyDescent="0.2">
      <c r="C6" s="66" t="s">
        <v>95</v>
      </c>
      <c r="D6" s="247"/>
      <c r="E6" s="14" t="s">
        <v>53</v>
      </c>
      <c r="F6" s="247"/>
      <c r="G6" s="33" t="s">
        <v>95</v>
      </c>
    </row>
    <row r="7" spans="2:11" x14ac:dyDescent="0.2">
      <c r="D7" s="63"/>
      <c r="F7" s="63"/>
    </row>
    <row r="8" spans="2:11" x14ac:dyDescent="0.2">
      <c r="B8" s="92" t="s">
        <v>163</v>
      </c>
      <c r="C8" s="73">
        <f>E8*G8</f>
        <v>0.1443438544980018</v>
      </c>
      <c r="D8" s="67" t="s">
        <v>44</v>
      </c>
      <c r="E8" s="87">
        <f>'Profitability ratios'!G17</f>
        <v>8.9003998088963782E-2</v>
      </c>
      <c r="F8" s="67" t="s">
        <v>98</v>
      </c>
      <c r="G8" s="83">
        <f>'Activity ratios'!G48</f>
        <v>1.6217682081396296</v>
      </c>
    </row>
    <row r="9" spans="2:11" x14ac:dyDescent="0.2">
      <c r="B9" s="92" t="s">
        <v>164</v>
      </c>
      <c r="C9" s="74">
        <f>E9*G9</f>
        <v>0.13136687601439562</v>
      </c>
      <c r="D9" s="49" t="s">
        <v>44</v>
      </c>
      <c r="E9" s="88">
        <f>'Profitability ratios'!K17</f>
        <v>7.7505953669625482E-2</v>
      </c>
      <c r="F9" s="49" t="s">
        <v>98</v>
      </c>
      <c r="G9" s="84">
        <f>'Activity ratios'!K48</f>
        <v>1.6949262578505397</v>
      </c>
    </row>
    <row r="11" spans="2:11" x14ac:dyDescent="0.2">
      <c r="C11" s="3"/>
    </row>
    <row r="12" spans="2:11" x14ac:dyDescent="0.2">
      <c r="B12" s="218" t="s">
        <v>277</v>
      </c>
      <c r="C12" s="96" t="s">
        <v>97</v>
      </c>
      <c r="D12" s="97" t="s">
        <v>44</v>
      </c>
      <c r="E12" s="97" t="s">
        <v>100</v>
      </c>
      <c r="F12" s="97" t="s">
        <v>98</v>
      </c>
      <c r="G12" s="97" t="s">
        <v>99</v>
      </c>
      <c r="H12" s="97" t="s">
        <v>98</v>
      </c>
      <c r="I12" s="98" t="s">
        <v>103</v>
      </c>
      <c r="J12" s="81"/>
    </row>
    <row r="14" spans="2:11" x14ac:dyDescent="0.2">
      <c r="C14" s="68" t="s">
        <v>81</v>
      </c>
      <c r="D14" s="246" t="s">
        <v>44</v>
      </c>
      <c r="E14" s="69" t="s">
        <v>81</v>
      </c>
      <c r="F14" s="246" t="s">
        <v>98</v>
      </c>
      <c r="G14" s="69" t="s">
        <v>53</v>
      </c>
      <c r="H14" s="246" t="s">
        <v>98</v>
      </c>
      <c r="I14" s="71" t="s">
        <v>54</v>
      </c>
      <c r="J14" s="63"/>
      <c r="K14" s="53"/>
    </row>
    <row r="15" spans="2:11" x14ac:dyDescent="0.2">
      <c r="C15" s="70" t="s">
        <v>95</v>
      </c>
      <c r="D15" s="247"/>
      <c r="E15" s="62" t="s">
        <v>53</v>
      </c>
      <c r="F15" s="247"/>
      <c r="G15" s="62" t="s">
        <v>54</v>
      </c>
      <c r="H15" s="247"/>
      <c r="I15" s="72" t="s">
        <v>95</v>
      </c>
      <c r="J15" s="63"/>
    </row>
    <row r="17" spans="2:13" x14ac:dyDescent="0.2">
      <c r="B17" s="92" t="s">
        <v>163</v>
      </c>
      <c r="C17" s="73">
        <f>E17*G17*I17</f>
        <v>0.1443438544980018</v>
      </c>
      <c r="D17" s="67" t="s">
        <v>44</v>
      </c>
      <c r="E17" s="87">
        <f>E8</f>
        <v>8.9003998088963782E-2</v>
      </c>
      <c r="F17" s="67" t="s">
        <v>98</v>
      </c>
      <c r="G17" s="85">
        <f>'Activity ratios'!G37</f>
        <v>1.1378468774945567</v>
      </c>
      <c r="H17" s="67" t="s">
        <v>98</v>
      </c>
      <c r="I17" s="83">
        <f>'Solvency ratios'!G25</f>
        <v>1.4252956528831253</v>
      </c>
      <c r="J17" s="82"/>
    </row>
    <row r="18" spans="2:13" x14ac:dyDescent="0.2">
      <c r="B18" s="92" t="s">
        <v>164</v>
      </c>
      <c r="C18" s="74">
        <f>E18*G18*I18</f>
        <v>0.13136687601439564</v>
      </c>
      <c r="D18" s="49" t="s">
        <v>44</v>
      </c>
      <c r="E18" s="88">
        <f>E9</f>
        <v>7.7505953669625482E-2</v>
      </c>
      <c r="F18" s="49" t="s">
        <v>98</v>
      </c>
      <c r="G18" s="86">
        <f>'Activity ratios'!K37</f>
        <v>1.0923495329312995</v>
      </c>
      <c r="H18" s="49" t="s">
        <v>98</v>
      </c>
      <c r="I18" s="84">
        <f>'Solvency ratios'!K25</f>
        <v>1.5516336179521557</v>
      </c>
      <c r="J18" s="82"/>
    </row>
    <row r="21" spans="2:13" x14ac:dyDescent="0.2">
      <c r="B21" s="218" t="s">
        <v>278</v>
      </c>
      <c r="C21" s="96" t="s">
        <v>97</v>
      </c>
      <c r="D21" s="97" t="s">
        <v>44</v>
      </c>
      <c r="E21" s="97" t="s">
        <v>160</v>
      </c>
      <c r="F21" s="97" t="s">
        <v>98</v>
      </c>
      <c r="G21" s="97" t="s">
        <v>161</v>
      </c>
      <c r="H21" s="97" t="s">
        <v>98</v>
      </c>
      <c r="I21" s="97" t="s">
        <v>162</v>
      </c>
      <c r="J21" s="97" t="s">
        <v>98</v>
      </c>
      <c r="K21" s="97" t="s">
        <v>99</v>
      </c>
      <c r="L21" s="97" t="s">
        <v>98</v>
      </c>
      <c r="M21" s="98" t="s">
        <v>103</v>
      </c>
    </row>
    <row r="23" spans="2:13" x14ac:dyDescent="0.2">
      <c r="C23" s="75" t="s">
        <v>81</v>
      </c>
      <c r="D23" s="264" t="s">
        <v>44</v>
      </c>
      <c r="E23" s="76" t="s">
        <v>81</v>
      </c>
      <c r="F23" s="264" t="s">
        <v>98</v>
      </c>
      <c r="G23" s="76" t="s">
        <v>83</v>
      </c>
      <c r="H23" s="264" t="s">
        <v>98</v>
      </c>
      <c r="I23" s="76" t="s">
        <v>84</v>
      </c>
      <c r="J23" s="264" t="s">
        <v>98</v>
      </c>
      <c r="K23" s="76" t="s">
        <v>53</v>
      </c>
      <c r="L23" s="264" t="s">
        <v>98</v>
      </c>
      <c r="M23" s="77" t="s">
        <v>54</v>
      </c>
    </row>
    <row r="24" spans="2:13" x14ac:dyDescent="0.2">
      <c r="C24" s="78" t="s">
        <v>95</v>
      </c>
      <c r="D24" s="265"/>
      <c r="E24" s="79" t="s">
        <v>83</v>
      </c>
      <c r="F24" s="265"/>
      <c r="G24" s="79" t="s">
        <v>84</v>
      </c>
      <c r="H24" s="265"/>
      <c r="I24" s="62" t="s">
        <v>53</v>
      </c>
      <c r="J24" s="265"/>
      <c r="K24" s="79" t="s">
        <v>54</v>
      </c>
      <c r="L24" s="265"/>
      <c r="M24" s="80" t="s">
        <v>95</v>
      </c>
    </row>
    <row r="25" spans="2:13" x14ac:dyDescent="0.2">
      <c r="D25" s="20"/>
      <c r="E25" s="53"/>
      <c r="F25" s="20"/>
      <c r="G25" s="53"/>
      <c r="H25" s="20"/>
      <c r="I25" s="53"/>
      <c r="J25" s="20"/>
      <c r="K25" s="53"/>
      <c r="L25" s="20"/>
    </row>
    <row r="26" spans="2:13" x14ac:dyDescent="0.2">
      <c r="B26" s="92" t="s">
        <v>163</v>
      </c>
      <c r="C26" s="73">
        <f>E26*G26*I26*K26*M26</f>
        <v>0.1443438544980018</v>
      </c>
      <c r="D26" s="67" t="s">
        <v>44</v>
      </c>
      <c r="E26" s="89">
        <f>'P&amp;L'!D32/'P&amp;L'!D28</f>
        <v>0.89266619590436802</v>
      </c>
      <c r="F26" s="67" t="s">
        <v>98</v>
      </c>
      <c r="G26" s="89">
        <f>'P&amp;L'!D28/'P&amp;L'!D24</f>
        <v>0.87916278657265756</v>
      </c>
      <c r="H26" s="67" t="s">
        <v>98</v>
      </c>
      <c r="I26" s="87">
        <f>'Profitability ratios'!G9</f>
        <v>0.11340994241746086</v>
      </c>
      <c r="J26" s="67" t="s">
        <v>98</v>
      </c>
      <c r="K26" s="85">
        <f>G17</f>
        <v>1.1378468774945567</v>
      </c>
      <c r="L26" s="67" t="s">
        <v>98</v>
      </c>
      <c r="M26" s="83">
        <f>I17</f>
        <v>1.4252956528831253</v>
      </c>
    </row>
    <row r="27" spans="2:13" x14ac:dyDescent="0.2">
      <c r="B27" s="92" t="s">
        <v>164</v>
      </c>
      <c r="C27" s="90">
        <f>E27*G27*I27*K27*M27</f>
        <v>0.13136687601439559</v>
      </c>
      <c r="D27" s="49" t="s">
        <v>44</v>
      </c>
      <c r="E27" s="91">
        <f>'P&amp;L'!E32/'P&amp;L'!E28</f>
        <v>0.89471323293816085</v>
      </c>
      <c r="F27" s="49" t="s">
        <v>98</v>
      </c>
      <c r="G27" s="91">
        <f>'P&amp;L'!E28/'P&amp;L'!E24</f>
        <v>0.83911383556487606</v>
      </c>
      <c r="H27" s="49" t="s">
        <v>98</v>
      </c>
      <c r="I27" s="88">
        <f>'Profitability ratios'!K9</f>
        <v>0.1032357986244109</v>
      </c>
      <c r="J27" s="49" t="s">
        <v>98</v>
      </c>
      <c r="K27" s="86">
        <f>G18</f>
        <v>1.0923495329312995</v>
      </c>
      <c r="L27" s="49" t="s">
        <v>98</v>
      </c>
      <c r="M27" s="84">
        <f>I18</f>
        <v>1.5516336179521557</v>
      </c>
    </row>
  </sheetData>
  <mergeCells count="10">
    <mergeCell ref="D23:D24"/>
    <mergeCell ref="F23:F24"/>
    <mergeCell ref="L23:L24"/>
    <mergeCell ref="H23:H24"/>
    <mergeCell ref="J23:J24"/>
    <mergeCell ref="D5:D6"/>
    <mergeCell ref="F5:F6"/>
    <mergeCell ref="D14:D15"/>
    <mergeCell ref="F14:F15"/>
    <mergeCell ref="H14:H1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EFBE-499B-4FD1-890E-6FEC01DA6B67}">
  <sheetPr>
    <tabColor theme="4" tint="0.59999389629810485"/>
  </sheetPr>
  <dimension ref="B2:N11"/>
  <sheetViews>
    <sheetView showGridLines="0" workbookViewId="0">
      <selection activeCell="C18" sqref="C18"/>
    </sheetView>
  </sheetViews>
  <sheetFormatPr defaultColWidth="8.85546875" defaultRowHeight="12" x14ac:dyDescent="0.2"/>
  <cols>
    <col min="1" max="1" width="2.7109375" style="3" customWidth="1"/>
    <col min="2" max="2" width="49.42578125" style="3" bestFit="1" customWidth="1"/>
    <col min="3" max="3" width="10.140625" style="3" bestFit="1" customWidth="1"/>
    <col min="4" max="4" width="8.85546875" style="181"/>
    <col min="5" max="5" width="8.85546875" style="3"/>
    <col min="6" max="7" width="8.85546875" style="3" customWidth="1"/>
    <col min="8" max="8" width="11" style="3" bestFit="1" customWidth="1"/>
    <col min="9" max="16384" width="8.85546875" style="3"/>
  </cols>
  <sheetData>
    <row r="2" spans="2:14" ht="12.75" thickBot="1" x14ac:dyDescent="0.25"/>
    <row r="3" spans="2:14" ht="12.75" thickBot="1" x14ac:dyDescent="0.25">
      <c r="D3" s="266" t="s">
        <v>222</v>
      </c>
      <c r="E3" s="267"/>
      <c r="F3" s="268" t="s">
        <v>93</v>
      </c>
      <c r="G3" s="269"/>
    </row>
    <row r="4" spans="2:14" s="126" customFormat="1" ht="12.75" thickBot="1" x14ac:dyDescent="0.25">
      <c r="B4" s="224" t="s">
        <v>179</v>
      </c>
      <c r="C4" s="225" t="s">
        <v>214</v>
      </c>
      <c r="D4" s="224" t="s">
        <v>104</v>
      </c>
      <c r="E4" s="226" t="s">
        <v>215</v>
      </c>
      <c r="F4" s="224" t="s">
        <v>104</v>
      </c>
      <c r="G4" s="226" t="s">
        <v>215</v>
      </c>
      <c r="H4" s="227" t="s">
        <v>220</v>
      </c>
    </row>
    <row r="5" spans="2:14" x14ac:dyDescent="0.2">
      <c r="B5" s="209" t="s">
        <v>210</v>
      </c>
      <c r="C5" s="213">
        <v>1.2</v>
      </c>
      <c r="D5" s="215">
        <f>(BS!D22-BS!D45)/BS!D23</f>
        <v>0.21741769246472928</v>
      </c>
      <c r="E5" s="216">
        <f>C5*D5</f>
        <v>0.26090123095767515</v>
      </c>
      <c r="F5" s="215">
        <f>(BS!E22-BS!E45)/BS!E23</f>
        <v>0.17068401973019551</v>
      </c>
      <c r="G5" s="216">
        <f>C5*F5</f>
        <v>0.20482082367623461</v>
      </c>
      <c r="H5" s="210" t="s">
        <v>216</v>
      </c>
    </row>
    <row r="6" spans="2:14" x14ac:dyDescent="0.2">
      <c r="B6" s="211" t="s">
        <v>211</v>
      </c>
      <c r="C6" s="182">
        <v>1.4</v>
      </c>
      <c r="D6" s="204">
        <f>BS!D29/BS!D23</f>
        <v>0.33734640616637518</v>
      </c>
      <c r="E6" s="183">
        <f>C6*D6</f>
        <v>0.47228496863292524</v>
      </c>
      <c r="F6" s="204">
        <f>BS!E29/BS!E23</f>
        <v>0.30013668508943958</v>
      </c>
      <c r="G6" s="183">
        <f t="shared" ref="G6:G9" si="0">C6*F6</f>
        <v>0.42019135912521538</v>
      </c>
      <c r="H6" s="184" t="s">
        <v>217</v>
      </c>
    </row>
    <row r="7" spans="2:14" x14ac:dyDescent="0.2">
      <c r="B7" s="211" t="s">
        <v>212</v>
      </c>
      <c r="C7" s="182">
        <v>3.3</v>
      </c>
      <c r="D7" s="204">
        <f>'P&amp;L'!D24/BS!D23</f>
        <v>0.12442548871392237</v>
      </c>
      <c r="E7" s="183">
        <f>C7*D7</f>
        <v>0.41060411275594377</v>
      </c>
      <c r="F7" s="204">
        <f>'P&amp;L'!E24/BS!E23</f>
        <v>0.1105188090568729</v>
      </c>
      <c r="G7" s="183">
        <f t="shared" si="0"/>
        <v>0.36471206988768057</v>
      </c>
      <c r="H7" s="184" t="s">
        <v>218</v>
      </c>
    </row>
    <row r="8" spans="2:14" x14ac:dyDescent="0.2">
      <c r="B8" s="211" t="s">
        <v>209</v>
      </c>
      <c r="C8" s="217">
        <v>1</v>
      </c>
      <c r="D8" s="204">
        <f>'P&amp;L'!D13/BS!D23</f>
        <v>1.0971303402651718</v>
      </c>
      <c r="E8" s="183">
        <f>C8*D8</f>
        <v>1.0971303402651718</v>
      </c>
      <c r="F8" s="204">
        <f>'P&amp;L'!E13/BS!E23</f>
        <v>1.0705473346407559</v>
      </c>
      <c r="G8" s="183">
        <f>C8*F8</f>
        <v>1.0705473346407559</v>
      </c>
      <c r="H8" s="184" t="s">
        <v>221</v>
      </c>
    </row>
    <row r="9" spans="2:14" ht="12.75" thickBot="1" x14ac:dyDescent="0.25">
      <c r="B9" s="212" t="s">
        <v>213</v>
      </c>
      <c r="C9" s="214">
        <v>0.6</v>
      </c>
      <c r="D9" s="205">
        <f>'P&amp;L'!D54/BS!D46</f>
        <v>0.59233379515290241</v>
      </c>
      <c r="E9" s="186">
        <f>C9*D9</f>
        <v>0.35540027709174143</v>
      </c>
      <c r="F9" s="205">
        <f>'P&amp;L'!E54/BS!E46</f>
        <v>0.39458229334899425</v>
      </c>
      <c r="G9" s="186">
        <f t="shared" si="0"/>
        <v>0.23674937600939655</v>
      </c>
      <c r="H9" s="187" t="s">
        <v>219</v>
      </c>
    </row>
    <row r="10" spans="2:14" ht="12.75" thickBot="1" x14ac:dyDescent="0.25">
      <c r="B10" s="206" t="s">
        <v>223</v>
      </c>
      <c r="C10" s="207"/>
      <c r="D10" s="185"/>
      <c r="E10" s="208">
        <f>SUM(E5:E9)</f>
        <v>2.5963209297034573</v>
      </c>
      <c r="F10" s="188"/>
      <c r="G10" s="208">
        <f>SUM(G5:G9)</f>
        <v>2.2970209633392829</v>
      </c>
    </row>
    <row r="11" spans="2:14" x14ac:dyDescent="0.2">
      <c r="N11" s="3" t="s">
        <v>273</v>
      </c>
    </row>
  </sheetData>
  <mergeCells count="2">
    <mergeCell ref="D3:E3"/>
    <mergeCell ref="F3:G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EFD6-0437-4CD5-B705-550F6CC7AA92}">
  <sheetPr>
    <tabColor theme="8" tint="0.59999389629810485"/>
  </sheetPr>
  <dimension ref="B3:S18"/>
  <sheetViews>
    <sheetView showGridLines="0" topLeftCell="B1" zoomScale="130" zoomScaleNormal="130" workbookViewId="0">
      <selection activeCell="K19" sqref="K19"/>
    </sheetView>
  </sheetViews>
  <sheetFormatPr defaultColWidth="8.85546875" defaultRowHeight="12" x14ac:dyDescent="0.2"/>
  <cols>
    <col min="1" max="1" width="2.7109375" style="3" customWidth="1"/>
    <col min="2" max="2" width="25.85546875" style="3" bestFit="1" customWidth="1"/>
    <col min="3" max="4" width="13.7109375" style="3" customWidth="1"/>
    <col min="5" max="5" width="16.28515625" style="3" customWidth="1"/>
    <col min="6" max="7" width="13.7109375" style="3" customWidth="1"/>
    <col min="8" max="8" width="16.7109375" style="3" bestFit="1" customWidth="1"/>
    <col min="9" max="16384" width="8.85546875" style="3"/>
  </cols>
  <sheetData>
    <row r="3" spans="2:19" x14ac:dyDescent="0.2">
      <c r="C3" s="270" t="s">
        <v>92</v>
      </c>
      <c r="D3" s="271"/>
      <c r="E3" s="271"/>
      <c r="F3" s="270" t="s">
        <v>93</v>
      </c>
      <c r="G3" s="271"/>
      <c r="H3" s="272"/>
    </row>
    <row r="4" spans="2:19" x14ac:dyDescent="0.2">
      <c r="B4" s="126"/>
      <c r="C4" s="228" t="s">
        <v>26</v>
      </c>
      <c r="D4" s="229" t="s">
        <v>226</v>
      </c>
      <c r="E4" s="229" t="s">
        <v>225</v>
      </c>
      <c r="F4" s="228" t="s">
        <v>26</v>
      </c>
      <c r="G4" s="229" t="s">
        <v>226</v>
      </c>
      <c r="H4" s="230" t="s">
        <v>225</v>
      </c>
      <c r="I4" s="273" t="s">
        <v>274</v>
      </c>
      <c r="J4" s="273"/>
    </row>
    <row r="5" spans="2:19" x14ac:dyDescent="0.2">
      <c r="B5" s="189" t="s">
        <v>248</v>
      </c>
      <c r="C5" s="190">
        <v>42980</v>
      </c>
      <c r="D5" s="191">
        <v>7134</v>
      </c>
      <c r="E5" s="192">
        <f t="shared" ref="E5:E9" si="0">D5/C5</f>
        <v>0.16598417868776175</v>
      </c>
      <c r="F5" s="190">
        <v>32980</v>
      </c>
      <c r="G5" s="191">
        <v>5401</v>
      </c>
      <c r="H5" s="193">
        <f t="shared" ref="H5:H9" si="1">G5/F5</f>
        <v>0.16376591873862947</v>
      </c>
      <c r="I5" s="274">
        <f>E5-H5</f>
        <v>2.218259949132273E-3</v>
      </c>
      <c r="J5" s="275"/>
    </row>
    <row r="6" spans="2:19" x14ac:dyDescent="0.2">
      <c r="B6" s="194" t="s">
        <v>224</v>
      </c>
      <c r="C6" s="190">
        <v>33600</v>
      </c>
      <c r="D6" s="191">
        <v>6800</v>
      </c>
      <c r="E6" s="192">
        <f t="shared" si="0"/>
        <v>0.20238095238095238</v>
      </c>
      <c r="F6" s="190">
        <v>30600</v>
      </c>
      <c r="G6" s="191">
        <v>5460</v>
      </c>
      <c r="H6" s="193">
        <f t="shared" si="1"/>
        <v>0.17843137254901961</v>
      </c>
      <c r="I6" s="276">
        <f t="shared" ref="I6:I10" si="2">E6-H6</f>
        <v>2.3949579831932771E-2</v>
      </c>
      <c r="J6" s="277"/>
    </row>
    <row r="7" spans="2:19" x14ac:dyDescent="0.2">
      <c r="B7" s="194" t="s">
        <v>249</v>
      </c>
      <c r="C7" s="190">
        <v>15233</v>
      </c>
      <c r="D7" s="191">
        <v>3679</v>
      </c>
      <c r="E7" s="192">
        <f t="shared" si="0"/>
        <v>0.24151513162213614</v>
      </c>
      <c r="F7" s="190">
        <v>14273</v>
      </c>
      <c r="G7" s="191">
        <v>3370</v>
      </c>
      <c r="H7" s="193">
        <f t="shared" si="1"/>
        <v>0.23611013802284034</v>
      </c>
      <c r="I7" s="276">
        <f t="shared" si="2"/>
        <v>5.4049935992958043E-3</v>
      </c>
      <c r="J7" s="277"/>
    </row>
    <row r="8" spans="2:19" x14ac:dyDescent="0.2">
      <c r="B8" s="194" t="s">
        <v>251</v>
      </c>
      <c r="C8" s="190">
        <v>20190</v>
      </c>
      <c r="D8" s="191">
        <v>8350</v>
      </c>
      <c r="E8" s="192">
        <f t="shared" si="0"/>
        <v>0.41357107478949973</v>
      </c>
      <c r="F8" s="190">
        <v>19020</v>
      </c>
      <c r="G8" s="191">
        <v>7344</v>
      </c>
      <c r="H8" s="193">
        <f t="shared" si="1"/>
        <v>0.38611987381703472</v>
      </c>
      <c r="I8" s="276">
        <f t="shared" si="2"/>
        <v>2.7451200972465006E-2</v>
      </c>
      <c r="J8" s="277"/>
    </row>
    <row r="9" spans="2:19" x14ac:dyDescent="0.2">
      <c r="B9" s="195" t="s">
        <v>250</v>
      </c>
      <c r="C9" s="190">
        <v>86842</v>
      </c>
      <c r="D9" s="191">
        <v>22590</v>
      </c>
      <c r="E9" s="192">
        <f t="shared" si="0"/>
        <v>0.26012758803344005</v>
      </c>
      <c r="F9" s="190">
        <v>83268</v>
      </c>
      <c r="G9" s="191">
        <v>19950</v>
      </c>
      <c r="H9" s="193">
        <f t="shared" si="1"/>
        <v>0.23958783686410146</v>
      </c>
      <c r="I9" s="278">
        <f t="shared" si="2"/>
        <v>2.0539751169338594E-2</v>
      </c>
      <c r="J9" s="279"/>
      <c r="S9" s="196"/>
    </row>
    <row r="10" spans="2:19" s="126" customFormat="1" x14ac:dyDescent="0.2">
      <c r="B10" s="197" t="s">
        <v>227</v>
      </c>
      <c r="C10" s="198">
        <f>'P&amp;L'!D13</f>
        <v>198845</v>
      </c>
      <c r="D10" s="199">
        <f>'P&amp;L'!D17</f>
        <v>48553.16</v>
      </c>
      <c r="E10" s="200">
        <f>D10/C10</f>
        <v>0.24417591591440571</v>
      </c>
      <c r="F10" s="201">
        <f>'P&amp;L'!E13</f>
        <v>180141</v>
      </c>
      <c r="G10" s="202">
        <f>'P&amp;L'!E17</f>
        <v>41525.160000000003</v>
      </c>
      <c r="H10" s="203">
        <f>G10/F10</f>
        <v>0.23051476343530902</v>
      </c>
      <c r="I10" s="280">
        <f t="shared" si="2"/>
        <v>1.3661152479096689E-2</v>
      </c>
      <c r="J10" s="280"/>
    </row>
    <row r="11" spans="2:19" x14ac:dyDescent="0.2">
      <c r="C11" s="122"/>
      <c r="D11" s="122"/>
      <c r="E11" s="13"/>
      <c r="F11" s="123"/>
      <c r="G11" s="123"/>
    </row>
    <row r="13" spans="2:19" x14ac:dyDescent="0.2">
      <c r="C13" s="270" t="s">
        <v>92</v>
      </c>
      <c r="D13" s="271"/>
      <c r="E13" s="272"/>
      <c r="F13" s="270" t="s">
        <v>93</v>
      </c>
      <c r="G13" s="271"/>
      <c r="H13" s="272"/>
    </row>
    <row r="14" spans="2:19" x14ac:dyDescent="0.2">
      <c r="C14" s="228" t="s">
        <v>26</v>
      </c>
      <c r="D14" s="229" t="s">
        <v>226</v>
      </c>
      <c r="E14" s="230" t="s">
        <v>225</v>
      </c>
      <c r="F14" s="228" t="s">
        <v>26</v>
      </c>
      <c r="G14" s="229" t="s">
        <v>226</v>
      </c>
      <c r="H14" s="230" t="s">
        <v>225</v>
      </c>
    </row>
    <row r="15" spans="2:19" x14ac:dyDescent="0.2">
      <c r="B15" s="189" t="s">
        <v>228</v>
      </c>
      <c r="C15" s="190">
        <v>127855</v>
      </c>
      <c r="D15" s="191">
        <v>27134</v>
      </c>
      <c r="E15" s="193">
        <f t="shared" ref="E15:E17" si="3">D15/C15</f>
        <v>0.2122247858902663</v>
      </c>
      <c r="F15" s="190">
        <v>113268</v>
      </c>
      <c r="G15" s="191">
        <v>20401</v>
      </c>
      <c r="H15" s="193">
        <f t="shared" ref="H15:H17" si="4">G15/F15</f>
        <v>0.18011265317653707</v>
      </c>
    </row>
    <row r="16" spans="2:19" x14ac:dyDescent="0.2">
      <c r="B16" s="194" t="s">
        <v>229</v>
      </c>
      <c r="C16" s="190">
        <v>44600</v>
      </c>
      <c r="D16" s="191">
        <v>10822</v>
      </c>
      <c r="E16" s="193">
        <f t="shared" si="3"/>
        <v>0.24264573991031391</v>
      </c>
      <c r="F16" s="190">
        <v>40600</v>
      </c>
      <c r="G16" s="191">
        <v>9760</v>
      </c>
      <c r="H16" s="193">
        <f t="shared" si="4"/>
        <v>0.24039408866995074</v>
      </c>
    </row>
    <row r="17" spans="2:8" x14ac:dyDescent="0.2">
      <c r="B17" s="194" t="s">
        <v>252</v>
      </c>
      <c r="C17" s="190">
        <v>26390</v>
      </c>
      <c r="D17" s="191">
        <v>10597</v>
      </c>
      <c r="E17" s="193">
        <f t="shared" si="3"/>
        <v>0.40155361879499812</v>
      </c>
      <c r="F17" s="190">
        <v>26273</v>
      </c>
      <c r="G17" s="191">
        <v>11364</v>
      </c>
      <c r="H17" s="193">
        <f t="shared" si="4"/>
        <v>0.43253530240170518</v>
      </c>
    </row>
    <row r="18" spans="2:8" x14ac:dyDescent="0.2">
      <c r="B18" s="197" t="s">
        <v>227</v>
      </c>
      <c r="C18" s="198">
        <f>C10</f>
        <v>198845</v>
      </c>
      <c r="D18" s="199">
        <f t="shared" ref="D18:H18" si="5">D10</f>
        <v>48553.16</v>
      </c>
      <c r="E18" s="203">
        <f t="shared" si="5"/>
        <v>0.24417591591440571</v>
      </c>
      <c r="F18" s="201">
        <f t="shared" si="5"/>
        <v>180141</v>
      </c>
      <c r="G18" s="202">
        <f t="shared" si="5"/>
        <v>41525.160000000003</v>
      </c>
      <c r="H18" s="203">
        <f t="shared" si="5"/>
        <v>0.23051476343530902</v>
      </c>
    </row>
  </sheetData>
  <mergeCells count="11">
    <mergeCell ref="F3:H3"/>
    <mergeCell ref="C3:E3"/>
    <mergeCell ref="C13:E13"/>
    <mergeCell ref="F13:H13"/>
    <mergeCell ref="I4:J4"/>
    <mergeCell ref="I5:J5"/>
    <mergeCell ref="I6:J6"/>
    <mergeCell ref="I7:J7"/>
    <mergeCell ref="I8:J8"/>
    <mergeCell ref="I9:J9"/>
    <mergeCell ref="I10:J1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d3b2d376-13d0-4ab0-8988-03c9d85742ba" xsi:nil="true"/>
    <TaxCatchAll xmlns="ede8f5c8-ce01-4a37-b337-4d1662605c72" xsi:nil="true"/>
    <lcf76f155ced4ddcb4097134ff3c332f xmlns="d3b2d376-13d0-4ab0-8988-03c9d85742b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8EF6904D81B40B088B076E2A628AD" ma:contentTypeVersion="12" ma:contentTypeDescription="Create a new document." ma:contentTypeScope="" ma:versionID="682ed1151e108a32dbc752ae80e45408">
  <xsd:schema xmlns:xsd="http://www.w3.org/2001/XMLSchema" xmlns:xs="http://www.w3.org/2001/XMLSchema" xmlns:p="http://schemas.microsoft.com/office/2006/metadata/properties" xmlns:ns2="d3b2d376-13d0-4ab0-8988-03c9d85742ba" xmlns:ns3="ede8f5c8-ce01-4a37-b337-4d1662605c72" targetNamespace="http://schemas.microsoft.com/office/2006/metadata/properties" ma:root="true" ma:fieldsID="55b13912cbd62ce0bfdc23c9c76522e6" ns2:_="" ns3:_="">
    <xsd:import namespace="d3b2d376-13d0-4ab0-8988-03c9d85742ba"/>
    <xsd:import namespace="ede8f5c8-ce01-4a37-b337-4d1662605c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2d376-13d0-4ab0-8988-03c9d8574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f6f7f3-e6e1-4bc4-a709-003d40ca4c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8f5c8-ce01-4a37-b337-4d1662605c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b7a43c9-a38d-4130-890b-39255c9e425e}" ma:internalName="TaxCatchAll" ma:showField="CatchAllData" ma:web="ede8f5c8-ce01-4a37-b337-4d1662605c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088C64-AFB2-4CF0-B0AC-E907A2109053}">
  <ds:schemaRefs>
    <ds:schemaRef ds:uri="http://schemas.microsoft.com/office/2006/metadata/properties"/>
    <ds:schemaRef ds:uri="http://schemas.microsoft.com/office/infopath/2007/PartnerControls"/>
    <ds:schemaRef ds:uri="d3b2d376-13d0-4ab0-8988-03c9d85742ba"/>
    <ds:schemaRef ds:uri="ede8f5c8-ce01-4a37-b337-4d1662605c72"/>
  </ds:schemaRefs>
</ds:datastoreItem>
</file>

<file path=customXml/itemProps2.xml><?xml version="1.0" encoding="utf-8"?>
<ds:datastoreItem xmlns:ds="http://schemas.openxmlformats.org/officeDocument/2006/customXml" ds:itemID="{1278755A-AA53-416E-B7DF-A29498C8AB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2d376-13d0-4ab0-8988-03c9d85742ba"/>
    <ds:schemaRef ds:uri="ede8f5c8-ce01-4a37-b337-4d1662605c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8784-478E-4E15-B8DC-5A42EBE260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BS</vt:lpstr>
      <vt:lpstr>P&amp;L</vt:lpstr>
      <vt:lpstr>Activity ratios</vt:lpstr>
      <vt:lpstr>Liquidity ratios</vt:lpstr>
      <vt:lpstr>Solvency ratios</vt:lpstr>
      <vt:lpstr>Profitability ratios</vt:lpstr>
      <vt:lpstr>Valuation ratios</vt:lpstr>
      <vt:lpstr>Summary of performance</vt:lpstr>
      <vt:lpstr>Forecast</vt:lpstr>
      <vt:lpstr>DuPont Analysis</vt:lpstr>
      <vt:lpstr>Altman's credit score </vt:lpstr>
      <vt:lpstr>Segment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Borislav Baltov</dc:creator>
  <cp:lastModifiedBy>Tur Chowdhury</cp:lastModifiedBy>
  <dcterms:created xsi:type="dcterms:W3CDTF">2020-03-25T09:21:18Z</dcterms:created>
  <dcterms:modified xsi:type="dcterms:W3CDTF">2026-02-06T17:14:10Z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0x0101003A18EF6904D81B40B088B076E2A628AD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