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4b85a4dd89a2b5/Documents/ratio analysis/"/>
    </mc:Choice>
  </mc:AlternateContent>
  <xr:revisionPtr revIDLastSave="3006" documentId="114_{697FDD00-CAF3-4796-BCF2-12BA3BDDD244}" xr6:coauthVersionLast="47" xr6:coauthVersionMax="47" xr10:uidLastSave="{DF3A42EB-7A7C-41A8-93D5-F67DD5A2FA4F}"/>
  <bookViews>
    <workbookView xWindow="-120" yWindow="-120" windowWidth="20730" windowHeight="11040" tabRatio="950" activeTab="1" xr2:uid="{40080B9E-9E5D-4D4F-BF78-D3F262E6937F}"/>
  </bookViews>
  <sheets>
    <sheet name="BS" sheetId="2" r:id="rId1"/>
    <sheet name="P&amp;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2" l="1"/>
  <c r="E52" i="3" l="1"/>
  <c r="D52" i="3"/>
  <c r="E54" i="3" l="1"/>
  <c r="D54" i="3"/>
  <c r="D41" i="3"/>
  <c r="E41" i="3"/>
  <c r="D48" i="3"/>
  <c r="E48" i="3"/>
  <c r="F45" i="2" l="1"/>
  <c r="F39" i="2"/>
  <c r="F30" i="2"/>
  <c r="F32" i="2" s="1"/>
  <c r="F22" i="2"/>
  <c r="F15" i="2"/>
  <c r="F23" i="2" l="1"/>
  <c r="F46" i="2"/>
  <c r="F47" i="2" s="1"/>
  <c r="F49" i="2" l="1"/>
  <c r="E45" i="2" l="1"/>
  <c r="D45" i="2"/>
  <c r="E39" i="2"/>
  <c r="D39" i="2"/>
  <c r="E30" i="2"/>
  <c r="E32" i="2" s="1"/>
  <c r="D30" i="2"/>
  <c r="D32" i="2" s="1"/>
  <c r="E22" i="2"/>
  <c r="D22" i="2"/>
  <c r="E15" i="2"/>
  <c r="D15" i="2"/>
  <c r="E37" i="3"/>
  <c r="E43" i="3" s="1"/>
  <c r="D37" i="3"/>
  <c r="D43" i="3" s="1"/>
  <c r="E13" i="3"/>
  <c r="D13" i="3"/>
  <c r="E17" i="3" l="1"/>
  <c r="E46" i="2"/>
  <c r="D17" i="3"/>
  <c r="D23" i="2"/>
  <c r="E23" i="2"/>
  <c r="D22" i="3"/>
  <c r="E22" i="3"/>
  <c r="D24" i="3" l="1"/>
  <c r="E24" i="3"/>
  <c r="E47" i="2"/>
  <c r="D47" i="2"/>
  <c r="D49" i="2" s="1"/>
  <c r="E49" i="2"/>
  <c r="D28" i="3"/>
  <c r="E28" i="3" l="1"/>
  <c r="E32" i="3"/>
  <c r="D32" i="3"/>
</calcChain>
</file>

<file path=xl/sharedStrings.xml><?xml version="1.0" encoding="utf-8"?>
<sst xmlns="http://schemas.openxmlformats.org/spreadsheetml/2006/main" count="87" uniqueCount="77">
  <si>
    <t>Note</t>
  </si>
  <si>
    <t>ASSETS</t>
  </si>
  <si>
    <t>Non-current assets</t>
  </si>
  <si>
    <t>Property, plant and equipment</t>
  </si>
  <si>
    <t>Intangible assets</t>
  </si>
  <si>
    <t>Deferred tax assets</t>
  </si>
  <si>
    <t>Trade and other receivables</t>
  </si>
  <si>
    <t>Loans granted</t>
  </si>
  <si>
    <t xml:space="preserve">Current assets </t>
  </si>
  <si>
    <t xml:space="preserve">Inventories </t>
  </si>
  <si>
    <t>Cash and cash equivalents</t>
  </si>
  <si>
    <t>Total assets</t>
  </si>
  <si>
    <t>EQUITY AND LIABILITIES</t>
  </si>
  <si>
    <t>Retained earnings</t>
  </si>
  <si>
    <t>Non-controlling interest</t>
  </si>
  <si>
    <t>Total equity</t>
  </si>
  <si>
    <t>Liabilities</t>
  </si>
  <si>
    <t>Non-current liabilities</t>
  </si>
  <si>
    <t>Deferred tax liabilities</t>
  </si>
  <si>
    <t>Retirement benefit obligations</t>
  </si>
  <si>
    <t>Current liabilities</t>
  </si>
  <si>
    <t>Trade and other payables</t>
  </si>
  <si>
    <t>Current income tax liabilities</t>
  </si>
  <si>
    <t>Total liabilities</t>
  </si>
  <si>
    <t>Total equity and liabilities</t>
  </si>
  <si>
    <t>Revenue</t>
  </si>
  <si>
    <t>Sales revenue</t>
  </si>
  <si>
    <t>Other revenue from operating activity</t>
  </si>
  <si>
    <t>Other costs</t>
  </si>
  <si>
    <t>Income tax expense</t>
  </si>
  <si>
    <t>Profit for the year attributable to:</t>
  </si>
  <si>
    <t>Equity holders of the Company</t>
  </si>
  <si>
    <t>Other comprehensive income</t>
  </si>
  <si>
    <t>Items that will not be reclassified to profit or loss</t>
  </si>
  <si>
    <t xml:space="preserve">Gains from revaluation of land and buildings </t>
  </si>
  <si>
    <t>Total other comprehensive income for the year</t>
  </si>
  <si>
    <t>Total comprehensive income for the year</t>
  </si>
  <si>
    <t>Total comprehensive income for the year attributable to:</t>
  </si>
  <si>
    <t>Gross Profit</t>
  </si>
  <si>
    <t>Administrative costs</t>
  </si>
  <si>
    <t>Selling costs</t>
  </si>
  <si>
    <t xml:space="preserve">* lease payments = </t>
  </si>
  <si>
    <t>in USD million</t>
  </si>
  <si>
    <t>As at 31st December</t>
  </si>
  <si>
    <t>Current year</t>
  </si>
  <si>
    <t>Previous year</t>
  </si>
  <si>
    <t>Net income</t>
  </si>
  <si>
    <t>Statement of Financial Position</t>
  </si>
  <si>
    <t>Statement of Comprehensive Income</t>
  </si>
  <si>
    <t>For the Year Ended 31st December</t>
  </si>
  <si>
    <t>Capital and reserves attributable to owners</t>
  </si>
  <si>
    <t>Total Revenue</t>
  </si>
  <si>
    <t>Total operating expenses</t>
  </si>
  <si>
    <t>Total non-current assets</t>
  </si>
  <si>
    <t>Total current assets</t>
  </si>
  <si>
    <t>Total owners' equity</t>
  </si>
  <si>
    <t>Total non-current liabilities</t>
  </si>
  <si>
    <t>Total current liabilities</t>
  </si>
  <si>
    <t>Y3</t>
  </si>
  <si>
    <t>Y2</t>
  </si>
  <si>
    <t>Y1</t>
  </si>
  <si>
    <t>Marketable securities</t>
  </si>
  <si>
    <t>Interest expense</t>
  </si>
  <si>
    <t>Cost of goods sold (COGS)</t>
  </si>
  <si>
    <t>Additional paid-in capital</t>
  </si>
  <si>
    <t>Long-term debt</t>
  </si>
  <si>
    <t>Short-term debt</t>
  </si>
  <si>
    <t>Check!</t>
  </si>
  <si>
    <t>SaleSmart Co</t>
  </si>
  <si>
    <t>Operating profit (EBIT)</t>
  </si>
  <si>
    <t>Profit before tax (EBT)</t>
  </si>
  <si>
    <t>Common share capital</t>
  </si>
  <si>
    <t>Common shares outstanding</t>
  </si>
  <si>
    <t>Share price (in $)</t>
  </si>
  <si>
    <t>Market capitalization</t>
  </si>
  <si>
    <t>Common dividend per share ($)</t>
  </si>
  <si>
    <t>Total dividends declared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</si>
</sst>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41" fontId="4" fillId="0" borderId="0" xfId="0" applyNumberFormat="1" applyFont="1" applyAlignment="1">
      <alignment horizontal="right" vertical="center" wrapText="1"/>
    </xf>
    <xf numFmtId="41" fontId="4" fillId="0" borderId="0" xfId="0" applyNumberFormat="1" applyFont="1"/>
    <xf numFmtId="41" fontId="3" fillId="0" borderId="0" xfId="0" applyNumberFormat="1" applyFont="1" applyAlignment="1">
      <alignment horizontal="right" vertical="center" wrapText="1"/>
    </xf>
    <xf numFmtId="43" fontId="4" fillId="0" borderId="0" xfId="0" applyNumberFormat="1" applyFont="1"/>
    <xf numFmtId="9" fontId="4" fillId="0" borderId="0" xfId="1" applyFont="1"/>
    <xf numFmtId="0" fontId="5" fillId="0" borderId="0" xfId="0" applyFont="1"/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7" fillId="2" borderId="0" xfId="0" applyFont="1" applyFill="1"/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41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41" fontId="3" fillId="0" borderId="4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1" fontId="4" fillId="0" borderId="1" xfId="0" applyNumberFormat="1" applyFont="1" applyBorder="1" applyAlignment="1">
      <alignment horizontal="right" vertical="center" wrapText="1"/>
    </xf>
    <xf numFmtId="41" fontId="3" fillId="0" borderId="3" xfId="0" applyNumberFormat="1" applyFont="1" applyBorder="1"/>
    <xf numFmtId="0" fontId="6" fillId="0" borderId="0" xfId="0" applyFont="1" applyAlignment="1">
      <alignment horizontal="center"/>
    </xf>
    <xf numFmtId="0" fontId="5" fillId="0" borderId="7" xfId="0" applyFont="1" applyBorder="1"/>
    <xf numFmtId="0" fontId="5" fillId="0" borderId="9" xfId="0" applyFont="1" applyBorder="1"/>
    <xf numFmtId="0" fontId="5" fillId="0" borderId="11" xfId="0" applyFont="1" applyBorder="1"/>
    <xf numFmtId="0" fontId="2" fillId="0" borderId="6" xfId="0" applyFont="1" applyBorder="1"/>
    <xf numFmtId="41" fontId="2" fillId="0" borderId="6" xfId="0" applyNumberFormat="1" applyFont="1" applyBorder="1"/>
    <xf numFmtId="41" fontId="2" fillId="0" borderId="8" xfId="0" applyNumberFormat="1" applyFont="1" applyBorder="1"/>
    <xf numFmtId="0" fontId="2" fillId="0" borderId="0" xfId="0" applyFont="1"/>
    <xf numFmtId="43" fontId="2" fillId="0" borderId="0" xfId="2" applyFont="1" applyBorder="1"/>
    <xf numFmtId="43" fontId="2" fillId="0" borderId="12" xfId="2" applyFont="1" applyBorder="1"/>
    <xf numFmtId="0" fontId="2" fillId="0" borderId="5" xfId="0" applyFont="1" applyBorder="1"/>
    <xf numFmtId="41" fontId="2" fillId="0" borderId="5" xfId="0" applyNumberFormat="1" applyFont="1" applyBorder="1"/>
    <xf numFmtId="41" fontId="2" fillId="0" borderId="10" xfId="0" applyNumberFormat="1" applyFont="1" applyBorder="1"/>
    <xf numFmtId="164" fontId="2" fillId="0" borderId="0" xfId="2" applyNumberFormat="1" applyFont="1" applyBorder="1"/>
    <xf numFmtId="164" fontId="2" fillId="0" borderId="12" xfId="2" applyNumberFormat="1" applyFont="1" applyBorder="1"/>
    <xf numFmtId="0" fontId="5" fillId="0" borderId="13" xfId="0" applyFont="1" applyBorder="1"/>
    <xf numFmtId="0" fontId="4" fillId="0" borderId="14" xfId="0" applyFont="1" applyBorder="1"/>
    <xf numFmtId="41" fontId="5" fillId="0" borderId="14" xfId="0" applyNumberFormat="1" applyFont="1" applyBorder="1"/>
    <xf numFmtId="41" fontId="5" fillId="0" borderId="15" xfId="0" applyNumberFormat="1" applyFont="1" applyBorder="1"/>
    <xf numFmtId="0" fontId="4" fillId="0" borderId="0" xfId="0" applyFont="1" applyAlignment="1">
      <alignment horizontal="center" vertical="center" wrapText="1"/>
    </xf>
    <xf numFmtId="41" fontId="4" fillId="0" borderId="0" xfId="0" applyNumberFormat="1" applyFont="1" applyAlignment="1">
      <alignment horizontal="right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9085-2B1F-47E3-8362-818A728CF25E}">
  <sheetPr>
    <tabColor theme="0" tint="-0.249977111117893"/>
  </sheetPr>
  <dimension ref="B3:I49"/>
  <sheetViews>
    <sheetView showGridLines="0" zoomScaleNormal="100" workbookViewId="0">
      <pane xSplit="2" ySplit="7" topLeftCell="C8" activePane="bottomRight" state="frozen"/>
      <selection activeCell="A3" sqref="A3"/>
      <selection pane="topRight" activeCell="C3" sqref="C3"/>
      <selection pane="bottomLeft" activeCell="A8" sqref="A8"/>
      <selection pane="bottomRight" activeCell="B18" sqref="B18"/>
    </sheetView>
  </sheetViews>
  <sheetFormatPr defaultColWidth="8.85546875" defaultRowHeight="12" x14ac:dyDescent="0.2"/>
  <cols>
    <col min="1" max="1" width="2.7109375" style="3" customWidth="1"/>
    <col min="2" max="2" width="34.5703125" style="3" customWidth="1"/>
    <col min="3" max="3" width="8.85546875" style="3"/>
    <col min="4" max="4" width="10.7109375" style="3" bestFit="1" customWidth="1"/>
    <col min="5" max="5" width="11.7109375" style="3" bestFit="1" customWidth="1"/>
    <col min="6" max="6" width="9.28515625" style="3" bestFit="1" customWidth="1"/>
    <col min="7" max="16384" width="8.85546875" style="3"/>
  </cols>
  <sheetData>
    <row r="3" spans="2:7" ht="15.75" x14ac:dyDescent="0.25">
      <c r="B3" s="17" t="s">
        <v>68</v>
      </c>
    </row>
    <row r="4" spans="2:7" ht="15.75" x14ac:dyDescent="0.25">
      <c r="B4" s="17" t="s">
        <v>47</v>
      </c>
    </row>
    <row r="5" spans="2:7" ht="15.75" x14ac:dyDescent="0.25">
      <c r="B5" s="17" t="s">
        <v>43</v>
      </c>
    </row>
    <row r="6" spans="2:7" x14ac:dyDescent="0.2">
      <c r="D6" s="29" t="s">
        <v>44</v>
      </c>
      <c r="E6" s="29" t="s">
        <v>45</v>
      </c>
    </row>
    <row r="7" spans="2:7" ht="12" customHeight="1" thickBot="1" x14ac:dyDescent="0.25">
      <c r="B7" s="15" t="s">
        <v>42</v>
      </c>
      <c r="C7" s="16" t="s">
        <v>0</v>
      </c>
      <c r="D7" s="16" t="s">
        <v>58</v>
      </c>
      <c r="E7" s="16" t="s">
        <v>59</v>
      </c>
      <c r="F7" s="16" t="s">
        <v>60</v>
      </c>
    </row>
    <row r="8" spans="2:7" x14ac:dyDescent="0.2">
      <c r="B8" s="4"/>
    </row>
    <row r="9" spans="2:7" x14ac:dyDescent="0.2">
      <c r="B9" s="6" t="s">
        <v>1</v>
      </c>
      <c r="C9" s="7"/>
      <c r="D9" s="8"/>
      <c r="E9" s="8"/>
      <c r="F9" s="8"/>
    </row>
    <row r="10" spans="2:7" x14ac:dyDescent="0.2">
      <c r="B10" s="6" t="s">
        <v>2</v>
      </c>
      <c r="C10" s="7"/>
      <c r="D10" s="9"/>
      <c r="E10" s="9"/>
      <c r="F10" s="9"/>
    </row>
    <row r="11" spans="2:7" x14ac:dyDescent="0.2">
      <c r="B11" s="4" t="s">
        <v>3</v>
      </c>
      <c r="C11" s="7">
        <v>5</v>
      </c>
      <c r="D11" s="9">
        <v>107099</v>
      </c>
      <c r="E11" s="9">
        <v>105050</v>
      </c>
      <c r="F11" s="9">
        <v>104077</v>
      </c>
      <c r="G11" s="10"/>
    </row>
    <row r="12" spans="2:7" x14ac:dyDescent="0.2">
      <c r="B12" s="4" t="s">
        <v>4</v>
      </c>
      <c r="C12" s="7">
        <v>7</v>
      </c>
      <c r="D12" s="9">
        <v>1346</v>
      </c>
      <c r="E12" s="9">
        <v>1209</v>
      </c>
      <c r="F12" s="9">
        <v>849</v>
      </c>
    </row>
    <row r="13" spans="2:7" x14ac:dyDescent="0.2">
      <c r="B13" s="4" t="s">
        <v>5</v>
      </c>
      <c r="C13" s="7">
        <v>16</v>
      </c>
      <c r="D13" s="9">
        <v>691</v>
      </c>
      <c r="E13" s="9">
        <v>642</v>
      </c>
      <c r="F13" s="9">
        <v>719</v>
      </c>
    </row>
    <row r="14" spans="2:7" x14ac:dyDescent="0.2">
      <c r="B14" s="25" t="s">
        <v>7</v>
      </c>
      <c r="C14" s="26">
        <v>9</v>
      </c>
      <c r="D14" s="27">
        <v>1198</v>
      </c>
      <c r="E14" s="27">
        <v>368</v>
      </c>
      <c r="F14" s="27">
        <v>318</v>
      </c>
    </row>
    <row r="15" spans="2:7" x14ac:dyDescent="0.2">
      <c r="B15" s="6" t="s">
        <v>53</v>
      </c>
      <c r="C15" s="7"/>
      <c r="D15" s="11">
        <f>SUM(D11:D14)</f>
        <v>110334</v>
      </c>
      <c r="E15" s="11">
        <f>SUM(E11:E14)</f>
        <v>107269</v>
      </c>
      <c r="F15" s="11">
        <f>SUM(F11:F14)</f>
        <v>105963</v>
      </c>
    </row>
    <row r="16" spans="2:7" x14ac:dyDescent="0.2">
      <c r="B16" s="6"/>
      <c r="C16" s="7"/>
      <c r="D16" s="11"/>
      <c r="E16" s="11"/>
      <c r="F16" s="9"/>
    </row>
    <row r="17" spans="2:9" x14ac:dyDescent="0.2">
      <c r="B17" s="6" t="s">
        <v>8</v>
      </c>
      <c r="C17" s="2"/>
      <c r="D17" s="11"/>
      <c r="E17" s="11"/>
    </row>
    <row r="18" spans="2:9" x14ac:dyDescent="0.2">
      <c r="B18" s="4" t="s">
        <v>9</v>
      </c>
      <c r="C18" s="7">
        <v>10</v>
      </c>
      <c r="D18" s="9">
        <v>25369</v>
      </c>
      <c r="E18" s="9">
        <v>23758</v>
      </c>
      <c r="F18" s="9">
        <v>23432</v>
      </c>
      <c r="G18" s="10"/>
    </row>
    <row r="19" spans="2:9" x14ac:dyDescent="0.2">
      <c r="B19" s="4" t="s">
        <v>6</v>
      </c>
      <c r="C19" s="7">
        <v>11</v>
      </c>
      <c r="D19" s="9">
        <v>26247</v>
      </c>
      <c r="E19" s="9">
        <v>24617</v>
      </c>
      <c r="F19" s="9">
        <v>26115</v>
      </c>
      <c r="G19" s="10"/>
      <c r="H19" s="10"/>
    </row>
    <row r="20" spans="2:9" x14ac:dyDescent="0.2">
      <c r="B20" s="4" t="s">
        <v>61</v>
      </c>
      <c r="C20" s="7">
        <v>9</v>
      </c>
      <c r="D20" s="9">
        <v>3346</v>
      </c>
      <c r="E20" s="9">
        <v>3129</v>
      </c>
      <c r="F20" s="9">
        <v>3045</v>
      </c>
    </row>
    <row r="21" spans="2:9" x14ac:dyDescent="0.2">
      <c r="B21" s="25" t="s">
        <v>10</v>
      </c>
      <c r="C21" s="26">
        <v>12</v>
      </c>
      <c r="D21" s="27">
        <v>15945</v>
      </c>
      <c r="E21" s="27">
        <v>9497</v>
      </c>
      <c r="F21" s="27">
        <v>2998</v>
      </c>
    </row>
    <row r="22" spans="2:9" x14ac:dyDescent="0.2">
      <c r="B22" s="6" t="s">
        <v>54</v>
      </c>
      <c r="C22" s="7"/>
      <c r="D22" s="11">
        <f>SUM(D18:D21)</f>
        <v>70907</v>
      </c>
      <c r="E22" s="11">
        <f>SUM(E18:E21)</f>
        <v>61001</v>
      </c>
      <c r="F22" s="11">
        <f>SUM(F18:F21)</f>
        <v>55590</v>
      </c>
    </row>
    <row r="23" spans="2:9" ht="12.75" thickBot="1" x14ac:dyDescent="0.25">
      <c r="B23" s="18" t="s">
        <v>11</v>
      </c>
      <c r="C23" s="19"/>
      <c r="D23" s="20">
        <f>D15+D22</f>
        <v>181241</v>
      </c>
      <c r="E23" s="20">
        <f>E15+E22</f>
        <v>168270</v>
      </c>
      <c r="F23" s="20">
        <f>F22+F15</f>
        <v>161553</v>
      </c>
    </row>
    <row r="24" spans="2:9" x14ac:dyDescent="0.2">
      <c r="B24" s="4"/>
      <c r="C24" s="7"/>
      <c r="D24" s="9"/>
      <c r="E24" s="9"/>
    </row>
    <row r="25" spans="2:9" x14ac:dyDescent="0.2">
      <c r="B25" s="6" t="s">
        <v>12</v>
      </c>
      <c r="C25" s="7"/>
      <c r="D25" s="9"/>
      <c r="E25" s="9"/>
    </row>
    <row r="26" spans="2:9" ht="24" x14ac:dyDescent="0.2">
      <c r="B26" s="6" t="s">
        <v>50</v>
      </c>
      <c r="C26" s="7"/>
      <c r="D26" s="9"/>
      <c r="E26" s="9"/>
      <c r="F26" s="9"/>
    </row>
    <row r="27" spans="2:9" x14ac:dyDescent="0.2">
      <c r="B27" s="4" t="s">
        <v>71</v>
      </c>
      <c r="C27" s="7">
        <v>13</v>
      </c>
      <c r="D27" s="9">
        <v>24867</v>
      </c>
      <c r="E27" s="9">
        <v>22802</v>
      </c>
      <c r="F27" s="9">
        <v>20345</v>
      </c>
      <c r="H27" s="13"/>
      <c r="I27" s="13"/>
    </row>
    <row r="28" spans="2:9" x14ac:dyDescent="0.2">
      <c r="B28" s="4" t="s">
        <v>64</v>
      </c>
      <c r="C28" s="7"/>
      <c r="D28" s="9">
        <v>11802</v>
      </c>
      <c r="E28" s="9">
        <v>11980</v>
      </c>
      <c r="F28" s="9">
        <v>13802</v>
      </c>
      <c r="G28" s="10"/>
    </row>
    <row r="29" spans="2:9" x14ac:dyDescent="0.2">
      <c r="B29" s="25" t="s">
        <v>13</v>
      </c>
      <c r="C29" s="26"/>
      <c r="D29" s="27">
        <v>61141</v>
      </c>
      <c r="E29" s="27">
        <v>50504</v>
      </c>
      <c r="F29" s="27">
        <v>40390</v>
      </c>
      <c r="G29" s="10"/>
    </row>
    <row r="30" spans="2:9" x14ac:dyDescent="0.2">
      <c r="B30" s="6" t="s">
        <v>55</v>
      </c>
      <c r="C30" s="7"/>
      <c r="D30" s="11">
        <f>SUM(D27:D29)</f>
        <v>97810</v>
      </c>
      <c r="E30" s="11">
        <f>SUM(E27:E29)</f>
        <v>85286</v>
      </c>
      <c r="F30" s="11">
        <f>SUM(F27:F29)</f>
        <v>74537</v>
      </c>
    </row>
    <row r="31" spans="2:9" x14ac:dyDescent="0.2">
      <c r="B31" s="6" t="s">
        <v>14</v>
      </c>
      <c r="C31" s="2"/>
      <c r="D31" s="11">
        <v>33628</v>
      </c>
      <c r="E31" s="11">
        <v>28496</v>
      </c>
      <c r="F31" s="11">
        <v>24246</v>
      </c>
    </row>
    <row r="32" spans="2:9" ht="12.75" thickBot="1" x14ac:dyDescent="0.25">
      <c r="B32" s="18" t="s">
        <v>15</v>
      </c>
      <c r="C32" s="19"/>
      <c r="D32" s="20">
        <f>D30+D31</f>
        <v>131438</v>
      </c>
      <c r="E32" s="20">
        <f>E30+E31</f>
        <v>113782</v>
      </c>
      <c r="F32" s="20">
        <f>F30+F31</f>
        <v>98783</v>
      </c>
    </row>
    <row r="33" spans="2:6" x14ac:dyDescent="0.2">
      <c r="B33" s="6"/>
      <c r="C33" s="48"/>
      <c r="D33" s="49"/>
      <c r="E33" s="49"/>
    </row>
    <row r="34" spans="2:6" x14ac:dyDescent="0.2">
      <c r="B34" s="6" t="s">
        <v>16</v>
      </c>
      <c r="C34" s="48"/>
      <c r="D34" s="49"/>
      <c r="E34" s="49"/>
    </row>
    <row r="35" spans="2:6" x14ac:dyDescent="0.2">
      <c r="B35" s="6" t="s">
        <v>17</v>
      </c>
      <c r="C35" s="7"/>
      <c r="D35" s="9"/>
      <c r="E35" s="9"/>
      <c r="F35" s="9"/>
    </row>
    <row r="36" spans="2:6" x14ac:dyDescent="0.2">
      <c r="B36" s="4" t="s">
        <v>65</v>
      </c>
      <c r="C36" s="7">
        <v>14</v>
      </c>
      <c r="D36" s="9">
        <v>16982</v>
      </c>
      <c r="E36" s="9">
        <v>20994</v>
      </c>
      <c r="F36" s="9">
        <v>25781</v>
      </c>
    </row>
    <row r="37" spans="2:6" x14ac:dyDescent="0.2">
      <c r="B37" s="4" t="s">
        <v>18</v>
      </c>
      <c r="C37" s="7">
        <v>16</v>
      </c>
      <c r="D37" s="9">
        <v>797</v>
      </c>
      <c r="E37" s="9">
        <v>793</v>
      </c>
      <c r="F37" s="9">
        <v>669</v>
      </c>
    </row>
    <row r="38" spans="2:6" x14ac:dyDescent="0.2">
      <c r="B38" s="25" t="s">
        <v>19</v>
      </c>
      <c r="C38" s="26">
        <v>15</v>
      </c>
      <c r="D38" s="27">
        <v>522</v>
      </c>
      <c r="E38" s="27">
        <v>421</v>
      </c>
      <c r="F38" s="27">
        <v>377</v>
      </c>
    </row>
    <row r="39" spans="2:6" x14ac:dyDescent="0.2">
      <c r="B39" s="6" t="s">
        <v>56</v>
      </c>
      <c r="C39" s="7"/>
      <c r="D39" s="11">
        <f>SUM(D36:D38)</f>
        <v>18301</v>
      </c>
      <c r="E39" s="11">
        <f>SUM(E36:E38)</f>
        <v>22208</v>
      </c>
      <c r="F39" s="11">
        <f>SUM(F36:F38)</f>
        <v>26827</v>
      </c>
    </row>
    <row r="40" spans="2:6" x14ac:dyDescent="0.2">
      <c r="B40" s="6"/>
      <c r="C40" s="7"/>
      <c r="D40" s="11"/>
      <c r="E40" s="11"/>
      <c r="F40" s="11"/>
    </row>
    <row r="41" spans="2:6" x14ac:dyDescent="0.2">
      <c r="B41" s="6" t="s">
        <v>20</v>
      </c>
      <c r="C41" s="7"/>
      <c r="D41" s="9"/>
      <c r="E41" s="9"/>
      <c r="F41" s="9"/>
    </row>
    <row r="42" spans="2:6" x14ac:dyDescent="0.2">
      <c r="B42" s="4" t="s">
        <v>66</v>
      </c>
      <c r="C42" s="7">
        <v>14</v>
      </c>
      <c r="D42" s="9">
        <v>12492</v>
      </c>
      <c r="E42" s="9">
        <v>14022</v>
      </c>
      <c r="F42" s="9">
        <v>17970</v>
      </c>
    </row>
    <row r="43" spans="2:6" x14ac:dyDescent="0.2">
      <c r="B43" s="4" t="s">
        <v>21</v>
      </c>
      <c r="C43" s="7">
        <v>18</v>
      </c>
      <c r="D43" s="9">
        <v>18699</v>
      </c>
      <c r="E43" s="9">
        <v>18096</v>
      </c>
      <c r="F43" s="9">
        <v>17802</v>
      </c>
    </row>
    <row r="44" spans="2:6" x14ac:dyDescent="0.2">
      <c r="B44" s="4" t="s">
        <v>22</v>
      </c>
      <c r="C44" s="7"/>
      <c r="D44" s="9">
        <v>311</v>
      </c>
      <c r="E44" s="9">
        <v>162</v>
      </c>
      <c r="F44" s="9">
        <v>171</v>
      </c>
    </row>
    <row r="45" spans="2:6" x14ac:dyDescent="0.2">
      <c r="B45" s="6" t="s">
        <v>57</v>
      </c>
      <c r="C45" s="7"/>
      <c r="D45" s="11">
        <f>SUM(D42:D44)</f>
        <v>31502</v>
      </c>
      <c r="E45" s="11">
        <f>SUM(E42:E44)</f>
        <v>32280</v>
      </c>
      <c r="F45" s="11">
        <f>SUM(F42:F44)</f>
        <v>35943</v>
      </c>
    </row>
    <row r="46" spans="2:6" x14ac:dyDescent="0.2">
      <c r="B46" s="22" t="s">
        <v>23</v>
      </c>
      <c r="C46" s="23"/>
      <c r="D46" s="24">
        <f>D39+D45</f>
        <v>49803</v>
      </c>
      <c r="E46" s="24">
        <f>E39+E45</f>
        <v>54488</v>
      </c>
      <c r="F46" s="24">
        <f>F39+F45</f>
        <v>62770</v>
      </c>
    </row>
    <row r="47" spans="2:6" ht="12.75" thickBot="1" x14ac:dyDescent="0.25">
      <c r="B47" s="18" t="s">
        <v>24</v>
      </c>
      <c r="C47" s="19"/>
      <c r="D47" s="20">
        <f>D46+D32</f>
        <v>181241</v>
      </c>
      <c r="E47" s="20">
        <f>E46+E32</f>
        <v>168270</v>
      </c>
      <c r="F47" s="20">
        <f>F46+F32</f>
        <v>161553</v>
      </c>
    </row>
    <row r="49" spans="4:7" x14ac:dyDescent="0.2">
      <c r="D49" s="10">
        <f>D47-D23</f>
        <v>0</v>
      </c>
      <c r="E49" s="10">
        <f>E47-E23</f>
        <v>0</v>
      </c>
      <c r="F49" s="10">
        <f>F47-F23</f>
        <v>0</v>
      </c>
      <c r="G49" s="14" t="s">
        <v>67</v>
      </c>
    </row>
  </sheetData>
  <mergeCells count="3">
    <mergeCell ref="C33:C34"/>
    <mergeCell ref="D33:D34"/>
    <mergeCell ref="E33:E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8AA3-6599-4358-9D91-4177A40C605C}">
  <sheetPr>
    <tabColor theme="0" tint="-0.249977111117893"/>
  </sheetPr>
  <dimension ref="B3:F55"/>
  <sheetViews>
    <sheetView showGridLines="0" tabSelected="1" zoomScaleNormal="100" workbookViewId="0">
      <pane xSplit="2" ySplit="8" topLeftCell="C9" activePane="bottomRight" state="frozen"/>
      <selection activeCell="A2" sqref="A2"/>
      <selection pane="topRight" activeCell="C2" sqref="C2"/>
      <selection pane="bottomLeft" activeCell="A9" sqref="A9"/>
      <selection pane="bottomRight" activeCell="J18" sqref="J18"/>
    </sheetView>
  </sheetViews>
  <sheetFormatPr defaultColWidth="8.85546875" defaultRowHeight="12" x14ac:dyDescent="0.2"/>
  <cols>
    <col min="1" max="1" width="2.7109375" style="3" customWidth="1"/>
    <col min="2" max="2" width="30.28515625" style="3" customWidth="1"/>
    <col min="3" max="3" width="7.42578125" style="3" customWidth="1"/>
    <col min="4" max="4" width="11.5703125" style="3" bestFit="1" customWidth="1"/>
    <col min="5" max="5" width="11.7109375" style="3" bestFit="1" customWidth="1"/>
    <col min="6" max="16384" width="8.85546875" style="3"/>
  </cols>
  <sheetData>
    <row r="3" spans="2:6" ht="15.75" x14ac:dyDescent="0.25">
      <c r="B3" s="17" t="s">
        <v>68</v>
      </c>
    </row>
    <row r="4" spans="2:6" ht="15.75" x14ac:dyDescent="0.25">
      <c r="B4" s="17" t="s">
        <v>48</v>
      </c>
    </row>
    <row r="5" spans="2:6" ht="15.75" x14ac:dyDescent="0.25">
      <c r="B5" s="17" t="s">
        <v>49</v>
      </c>
    </row>
    <row r="6" spans="2:6" ht="15.75" x14ac:dyDescent="0.25">
      <c r="B6" s="17"/>
    </row>
    <row r="7" spans="2:6" ht="15.75" x14ac:dyDescent="0.25">
      <c r="B7" s="17"/>
      <c r="D7" s="29" t="s">
        <v>44</v>
      </c>
      <c r="E7" s="29" t="s">
        <v>45</v>
      </c>
    </row>
    <row r="8" spans="2:6" ht="12.6" customHeight="1" thickBot="1" x14ac:dyDescent="0.25">
      <c r="B8" s="15" t="s">
        <v>42</v>
      </c>
      <c r="C8" s="16" t="s">
        <v>0</v>
      </c>
      <c r="D8" s="16" t="s">
        <v>58</v>
      </c>
      <c r="E8" s="16" t="s">
        <v>59</v>
      </c>
    </row>
    <row r="9" spans="2:6" x14ac:dyDescent="0.2">
      <c r="B9" s="4"/>
      <c r="C9" s="2"/>
      <c r="D9" s="5"/>
      <c r="E9" s="5"/>
    </row>
    <row r="10" spans="2:6" x14ac:dyDescent="0.2">
      <c r="B10" s="6" t="s">
        <v>25</v>
      </c>
      <c r="C10" s="2"/>
      <c r="D10" s="5"/>
      <c r="E10" s="5"/>
    </row>
    <row r="11" spans="2:6" x14ac:dyDescent="0.2">
      <c r="B11" s="4" t="s">
        <v>26</v>
      </c>
      <c r="C11" s="7">
        <v>19</v>
      </c>
      <c r="D11" s="9">
        <v>191504</v>
      </c>
      <c r="E11" s="9">
        <v>172829</v>
      </c>
    </row>
    <row r="12" spans="2:6" x14ac:dyDescent="0.2">
      <c r="B12" s="4" t="s">
        <v>27</v>
      </c>
      <c r="C12" s="7">
        <v>19</v>
      </c>
      <c r="D12" s="9">
        <v>7341</v>
      </c>
      <c r="E12" s="9">
        <v>7312</v>
      </c>
    </row>
    <row r="13" spans="2:6" ht="12.75" thickBot="1" x14ac:dyDescent="0.25">
      <c r="B13" s="18" t="s">
        <v>51</v>
      </c>
      <c r="C13" s="21"/>
      <c r="D13" s="20">
        <f>SUM(D11:D12)</f>
        <v>198845</v>
      </c>
      <c r="E13" s="20">
        <f>SUM(E11:E12)</f>
        <v>180141</v>
      </c>
    </row>
    <row r="14" spans="2:6" x14ac:dyDescent="0.2">
      <c r="B14" s="6"/>
      <c r="C14" s="2"/>
      <c r="D14" s="11"/>
      <c r="E14" s="11"/>
    </row>
    <row r="15" spans="2:6" x14ac:dyDescent="0.2">
      <c r="B15" s="4" t="s">
        <v>63</v>
      </c>
      <c r="C15" s="2"/>
      <c r="D15" s="9">
        <v>-150291.84</v>
      </c>
      <c r="E15" s="9">
        <v>-138615.84</v>
      </c>
      <c r="F15" s="10"/>
    </row>
    <row r="16" spans="2:6" x14ac:dyDescent="0.2">
      <c r="B16" s="4"/>
      <c r="C16" s="2"/>
      <c r="D16" s="11"/>
      <c r="E16" s="11"/>
      <c r="F16" s="12"/>
    </row>
    <row r="17" spans="2:6" ht="12.75" thickBot="1" x14ac:dyDescent="0.25">
      <c r="B17" s="18" t="s">
        <v>38</v>
      </c>
      <c r="C17" s="21"/>
      <c r="D17" s="28">
        <f>D13+D15</f>
        <v>48553.16</v>
      </c>
      <c r="E17" s="28">
        <f>E13+E15</f>
        <v>41525.160000000003</v>
      </c>
    </row>
    <row r="18" spans="2:6" x14ac:dyDescent="0.2">
      <c r="B18" s="6"/>
      <c r="C18" s="2"/>
      <c r="D18" s="11"/>
      <c r="E18" s="11"/>
    </row>
    <row r="19" spans="2:6" x14ac:dyDescent="0.2">
      <c r="B19" s="4" t="s">
        <v>39</v>
      </c>
      <c r="C19" s="2"/>
      <c r="D19" s="9">
        <v>-5348.82</v>
      </c>
      <c r="E19" s="9">
        <v>-4906.32</v>
      </c>
    </row>
    <row r="20" spans="2:6" x14ac:dyDescent="0.2">
      <c r="B20" s="4" t="s">
        <v>40</v>
      </c>
      <c r="C20" s="2"/>
      <c r="D20" s="9">
        <v>-17612.34</v>
      </c>
      <c r="E20" s="9">
        <v>-15989.84</v>
      </c>
    </row>
    <row r="21" spans="2:6" x14ac:dyDescent="0.2">
      <c r="B21" s="4" t="s">
        <v>28</v>
      </c>
      <c r="C21" s="2"/>
      <c r="D21" s="9">
        <v>-3041</v>
      </c>
      <c r="E21" s="9">
        <v>-2032</v>
      </c>
    </row>
    <row r="22" spans="2:6" ht="12.75" thickBot="1" x14ac:dyDescent="0.25">
      <c r="B22" s="18" t="s">
        <v>52</v>
      </c>
      <c r="C22" s="21"/>
      <c r="D22" s="20">
        <f>SUM(D19:D21)</f>
        <v>-26002.16</v>
      </c>
      <c r="E22" s="20">
        <f>SUM(E19:E21)</f>
        <v>-22928.16</v>
      </c>
    </row>
    <row r="23" spans="2:6" x14ac:dyDescent="0.2">
      <c r="B23" s="4"/>
      <c r="C23" s="2"/>
      <c r="D23" s="9"/>
      <c r="E23" s="9"/>
    </row>
    <row r="24" spans="2:6" ht="12.75" thickBot="1" x14ac:dyDescent="0.25">
      <c r="B24" s="18" t="s">
        <v>69</v>
      </c>
      <c r="C24" s="21"/>
      <c r="D24" s="20">
        <f>D17+D22</f>
        <v>22551.000000000004</v>
      </c>
      <c r="E24" s="20">
        <f>E17+E22</f>
        <v>18597.000000000004</v>
      </c>
    </row>
    <row r="25" spans="2:6" x14ac:dyDescent="0.2">
      <c r="B25" s="6"/>
      <c r="C25" s="2"/>
      <c r="D25" s="11"/>
      <c r="E25" s="11"/>
    </row>
    <row r="26" spans="2:6" x14ac:dyDescent="0.2">
      <c r="B26" s="4" t="s">
        <v>62</v>
      </c>
      <c r="C26" s="7">
        <v>21</v>
      </c>
      <c r="D26" s="9">
        <v>-2725</v>
      </c>
      <c r="E26" s="9">
        <v>-2992</v>
      </c>
    </row>
    <row r="27" spans="2:6" x14ac:dyDescent="0.2">
      <c r="B27" s="4"/>
      <c r="C27" s="7"/>
      <c r="D27" s="9"/>
      <c r="E27" s="9"/>
    </row>
    <row r="28" spans="2:6" ht="12.75" thickBot="1" x14ac:dyDescent="0.25">
      <c r="B28" s="18" t="s">
        <v>70</v>
      </c>
      <c r="C28" s="21"/>
      <c r="D28" s="20">
        <f>D24+D26</f>
        <v>19826.000000000004</v>
      </c>
      <c r="E28" s="20">
        <f>E24+E26</f>
        <v>15605.000000000004</v>
      </c>
    </row>
    <row r="29" spans="2:6" x14ac:dyDescent="0.2">
      <c r="B29" s="4"/>
      <c r="C29" s="7"/>
      <c r="D29" s="9"/>
      <c r="E29" s="9"/>
    </row>
    <row r="30" spans="2:6" x14ac:dyDescent="0.2">
      <c r="B30" s="4" t="s">
        <v>29</v>
      </c>
      <c r="C30" s="7">
        <v>22</v>
      </c>
      <c r="D30" s="9">
        <v>-2128</v>
      </c>
      <c r="E30" s="9">
        <v>-1643</v>
      </c>
      <c r="F30" s="13"/>
    </row>
    <row r="31" spans="2:6" x14ac:dyDescent="0.2">
      <c r="B31" s="4"/>
      <c r="C31" s="7"/>
      <c r="D31" s="9"/>
      <c r="E31" s="9"/>
    </row>
    <row r="32" spans="2:6" ht="12.75" thickBot="1" x14ac:dyDescent="0.25">
      <c r="B32" s="18" t="s">
        <v>46</v>
      </c>
      <c r="C32" s="19"/>
      <c r="D32" s="20">
        <f>D28+D30</f>
        <v>17698.000000000004</v>
      </c>
      <c r="E32" s="20">
        <f>E28+E30</f>
        <v>13962.000000000004</v>
      </c>
    </row>
    <row r="33" spans="2:5" x14ac:dyDescent="0.2">
      <c r="B33" s="6"/>
      <c r="C33" s="7"/>
      <c r="D33" s="11"/>
      <c r="E33" s="11"/>
    </row>
    <row r="34" spans="2:5" hidden="1" x14ac:dyDescent="0.2">
      <c r="B34" s="6" t="s">
        <v>30</v>
      </c>
      <c r="C34" s="7"/>
      <c r="D34" s="9"/>
      <c r="E34" s="9"/>
    </row>
    <row r="35" spans="2:5" hidden="1" x14ac:dyDescent="0.2">
      <c r="B35" s="4" t="s">
        <v>31</v>
      </c>
      <c r="C35" s="7"/>
      <c r="D35" s="9">
        <v>12558</v>
      </c>
      <c r="E35" s="9">
        <v>10006</v>
      </c>
    </row>
    <row r="36" spans="2:5" hidden="1" x14ac:dyDescent="0.2">
      <c r="B36" s="25" t="s">
        <v>14</v>
      </c>
      <c r="C36" s="26"/>
      <c r="D36" s="27">
        <v>5140</v>
      </c>
      <c r="E36" s="27">
        <v>3956</v>
      </c>
    </row>
    <row r="37" spans="2:5" hidden="1" x14ac:dyDescent="0.2">
      <c r="B37" s="4"/>
      <c r="C37" s="2"/>
      <c r="D37" s="11">
        <f>SUM(D35:D36)</f>
        <v>17698</v>
      </c>
      <c r="E37" s="11">
        <f>SUM(E35:E36)</f>
        <v>13962</v>
      </c>
    </row>
    <row r="38" spans="2:5" hidden="1" x14ac:dyDescent="0.2">
      <c r="B38" s="6" t="s">
        <v>32</v>
      </c>
      <c r="C38" s="2"/>
      <c r="D38" s="11"/>
      <c r="E38" s="11"/>
    </row>
    <row r="39" spans="2:5" ht="24" hidden="1" x14ac:dyDescent="0.2">
      <c r="B39" s="1" t="s">
        <v>33</v>
      </c>
      <c r="C39" s="7"/>
      <c r="D39" s="9"/>
      <c r="E39" s="9"/>
    </row>
    <row r="40" spans="2:5" ht="24" hidden="1" x14ac:dyDescent="0.2">
      <c r="B40" s="4" t="s">
        <v>34</v>
      </c>
      <c r="C40" s="7"/>
      <c r="D40" s="11">
        <v>0</v>
      </c>
      <c r="E40" s="9">
        <v>1037</v>
      </c>
    </row>
    <row r="41" spans="2:5" ht="24.75" hidden="1" thickBot="1" x14ac:dyDescent="0.25">
      <c r="B41" s="18" t="s">
        <v>35</v>
      </c>
      <c r="C41" s="21"/>
      <c r="D41" s="20">
        <f>SUM(D40)</f>
        <v>0</v>
      </c>
      <c r="E41" s="20">
        <f>SUM(E40)</f>
        <v>1037</v>
      </c>
    </row>
    <row r="42" spans="2:5" hidden="1" x14ac:dyDescent="0.2">
      <c r="B42" s="6"/>
      <c r="C42" s="7"/>
      <c r="D42" s="11"/>
      <c r="E42" s="11"/>
    </row>
    <row r="43" spans="2:5" ht="24.75" hidden="1" thickBot="1" x14ac:dyDescent="0.25">
      <c r="B43" s="18" t="s">
        <v>36</v>
      </c>
      <c r="C43" s="19"/>
      <c r="D43" s="20">
        <f>D37+D41</f>
        <v>17698</v>
      </c>
      <c r="E43" s="20">
        <f>E37+E41</f>
        <v>14999</v>
      </c>
    </row>
    <row r="44" spans="2:5" hidden="1" x14ac:dyDescent="0.2">
      <c r="B44" s="6"/>
      <c r="C44" s="7"/>
      <c r="D44" s="11"/>
      <c r="E44" s="11"/>
    </row>
    <row r="45" spans="2:5" ht="24" hidden="1" x14ac:dyDescent="0.2">
      <c r="B45" s="6" t="s">
        <v>37</v>
      </c>
      <c r="C45" s="7"/>
      <c r="D45" s="9"/>
      <c r="E45" s="9"/>
    </row>
    <row r="46" spans="2:5" hidden="1" x14ac:dyDescent="0.2">
      <c r="B46" s="4" t="s">
        <v>31</v>
      </c>
      <c r="C46" s="7"/>
      <c r="D46" s="9">
        <v>12558</v>
      </c>
      <c r="E46" s="9">
        <v>10749</v>
      </c>
    </row>
    <row r="47" spans="2:5" hidden="1" x14ac:dyDescent="0.2">
      <c r="B47" s="25" t="s">
        <v>14</v>
      </c>
      <c r="C47" s="26"/>
      <c r="D47" s="27">
        <v>5140</v>
      </c>
      <c r="E47" s="27">
        <v>4250</v>
      </c>
    </row>
    <row r="48" spans="2:5" hidden="1" x14ac:dyDescent="0.2">
      <c r="B48" s="4"/>
      <c r="C48" s="7"/>
      <c r="D48" s="11">
        <f>SUM(D46:D47)</f>
        <v>17698</v>
      </c>
      <c r="E48" s="11">
        <f>SUM(E46:E47)</f>
        <v>14999</v>
      </c>
    </row>
    <row r="49" spans="2:5" ht="12.75" thickBot="1" x14ac:dyDescent="0.25">
      <c r="B49" s="4"/>
      <c r="C49" s="7"/>
      <c r="D49" s="11"/>
      <c r="E49" s="11"/>
    </row>
    <row r="50" spans="2:5" x14ac:dyDescent="0.2">
      <c r="B50" s="30" t="s">
        <v>72</v>
      </c>
      <c r="C50" s="33"/>
      <c r="D50" s="34">
        <v>10000</v>
      </c>
      <c r="E50" s="35">
        <v>10000</v>
      </c>
    </row>
    <row r="51" spans="2:5" x14ac:dyDescent="0.2">
      <c r="B51" s="32" t="s">
        <v>75</v>
      </c>
      <c r="C51" s="36"/>
      <c r="D51" s="37">
        <v>0.88</v>
      </c>
      <c r="E51" s="38">
        <v>0.65</v>
      </c>
    </row>
    <row r="52" spans="2:5" x14ac:dyDescent="0.2">
      <c r="B52" s="32" t="s">
        <v>76</v>
      </c>
      <c r="C52" s="36"/>
      <c r="D52" s="42">
        <f>D50*D51</f>
        <v>8800</v>
      </c>
      <c r="E52" s="43">
        <f>E50*E51</f>
        <v>6500</v>
      </c>
    </row>
    <row r="53" spans="2:5" x14ac:dyDescent="0.2">
      <c r="B53" s="32" t="s">
        <v>73</v>
      </c>
      <c r="C53" s="36"/>
      <c r="D53" s="37">
        <v>2.95</v>
      </c>
      <c r="E53" s="38">
        <v>2.15</v>
      </c>
    </row>
    <row r="54" spans="2:5" ht="12.75" thickBot="1" x14ac:dyDescent="0.25">
      <c r="B54" s="31" t="s">
        <v>74</v>
      </c>
      <c r="C54" s="39"/>
      <c r="D54" s="40">
        <f>D50*D53</f>
        <v>29500</v>
      </c>
      <c r="E54" s="41">
        <f>E50*E53</f>
        <v>21500</v>
      </c>
    </row>
    <row r="55" spans="2:5" ht="12.75" thickBot="1" x14ac:dyDescent="0.25">
      <c r="B55" s="44" t="s">
        <v>41</v>
      </c>
      <c r="C55" s="45"/>
      <c r="D55" s="46">
        <v>-2281</v>
      </c>
      <c r="E55" s="47">
        <v>-2475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3b2d376-13d0-4ab0-8988-03c9d85742ba" xsi:nil="true"/>
    <TaxCatchAll xmlns="ede8f5c8-ce01-4a37-b337-4d1662605c72" xsi:nil="true"/>
    <lcf76f155ced4ddcb4097134ff3c332f xmlns="d3b2d376-13d0-4ab0-8988-03c9d85742b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8EF6904D81B40B088B076E2A628AD" ma:contentTypeVersion="12" ma:contentTypeDescription="Create a new document." ma:contentTypeScope="" ma:versionID="682ed1151e108a32dbc752ae80e45408">
  <xsd:schema xmlns:xsd="http://www.w3.org/2001/XMLSchema" xmlns:xs="http://www.w3.org/2001/XMLSchema" xmlns:p="http://schemas.microsoft.com/office/2006/metadata/properties" xmlns:ns2="d3b2d376-13d0-4ab0-8988-03c9d85742ba" xmlns:ns3="ede8f5c8-ce01-4a37-b337-4d1662605c72" targetNamespace="http://schemas.microsoft.com/office/2006/metadata/properties" ma:root="true" ma:fieldsID="55b13912cbd62ce0bfdc23c9c76522e6" ns2:_="" ns3:_="">
    <xsd:import namespace="d3b2d376-13d0-4ab0-8988-03c9d85742ba"/>
    <xsd:import namespace="ede8f5c8-ce01-4a37-b337-4d1662605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2d376-13d0-4ab0-8988-03c9d8574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f6f7f3-e6e1-4bc4-a709-003d40ca4c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8f5c8-ce01-4a37-b337-4d1662605c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7a43c9-a38d-4130-890b-39255c9e425e}" ma:internalName="TaxCatchAll" ma:showField="CatchAllData" ma:web="ede8f5c8-ce01-4a37-b337-4d1662605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088C64-AFB2-4CF0-B0AC-E907A2109053}">
  <ds:schemaRefs>
    <ds:schemaRef ds:uri="http://schemas.microsoft.com/office/2006/metadata/properties"/>
    <ds:schemaRef ds:uri="http://schemas.microsoft.com/office/infopath/2007/PartnerControls"/>
    <ds:schemaRef ds:uri="d3b2d376-13d0-4ab0-8988-03c9d85742ba"/>
    <ds:schemaRef ds:uri="ede8f5c8-ce01-4a37-b337-4d1662605c72"/>
  </ds:schemaRefs>
</ds:datastoreItem>
</file>

<file path=customXml/itemProps2.xml><?xml version="1.0" encoding="utf-8"?>
<ds:datastoreItem xmlns:ds="http://schemas.openxmlformats.org/officeDocument/2006/customXml" ds:itemID="{1278755A-AA53-416E-B7DF-A29498C8A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2d376-13d0-4ab0-8988-03c9d85742ba"/>
    <ds:schemaRef ds:uri="ede8f5c8-ce01-4a37-b337-4d1662605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8784-478E-4E15-B8DC-5A42EBE260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Borislav Baltov</dc:creator>
  <cp:lastModifiedBy>Tur Chowdhury</cp:lastModifiedBy>
  <dcterms:created xsi:type="dcterms:W3CDTF">2020-03-25T09:21:18Z</dcterms:created>
  <dcterms:modified xsi:type="dcterms:W3CDTF">2026-02-06T17:12:55Z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0x0101003A18EF6904D81B40B088B076E2A628AD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